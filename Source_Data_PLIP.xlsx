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cshan3/Desktop/Manuscripts/PLIP_Dpocket_Lipid_Puri_2025/Puri-et-al_Dpocket_PLIP_Lipid-Protein_Analysis/"/>
    </mc:Choice>
  </mc:AlternateContent>
  <xr:revisionPtr revIDLastSave="0" documentId="13_ncr:1_{172CC968-FB6D-D444-B0A9-FD5776138B51}" xr6:coauthVersionLast="47" xr6:coauthVersionMax="47" xr10:uidLastSave="{00000000-0000-0000-0000-000000000000}"/>
  <bookViews>
    <workbookView xWindow="0" yWindow="760" windowWidth="30240" windowHeight="18880" xr2:uid="{43203C83-61AD-AF41-A1DF-B5F5A8904D54}"/>
  </bookViews>
  <sheets>
    <sheet name="Figure 1A" sheetId="8" r:id="rId1"/>
    <sheet name="Figure 1B and Figure 1C" sheetId="1" r:id="rId2"/>
    <sheet name="Figure 2" sheetId="1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1" l="1"/>
  <c r="L25" i="1" s="1"/>
  <c r="J2" i="1"/>
  <c r="H50" i="1"/>
  <c r="G50" i="1"/>
  <c r="C50" i="1"/>
  <c r="B50" i="1"/>
  <c r="D50" i="1"/>
  <c r="E50" i="1"/>
  <c r="F50" i="1"/>
  <c r="B51" i="1"/>
  <c r="B49" i="1"/>
  <c r="B48" i="1"/>
  <c r="C49" i="1"/>
  <c r="B31" i="1"/>
  <c r="C31" i="1"/>
  <c r="H25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" i="8"/>
  <c r="D25" i="8"/>
  <c r="G25" i="8"/>
  <c r="E25" i="8"/>
  <c r="F25" i="8"/>
  <c r="C25" i="8"/>
  <c r="D51" i="1"/>
  <c r="C51" i="1"/>
  <c r="F46" i="1"/>
  <c r="D46" i="1"/>
  <c r="C43" i="1"/>
  <c r="G40" i="1"/>
  <c r="E40" i="1"/>
  <c r="C40" i="1"/>
  <c r="E39" i="1"/>
  <c r="C39" i="1"/>
  <c r="C52" i="1" l="1"/>
  <c r="D52" i="1"/>
  <c r="E52" i="1"/>
  <c r="F52" i="1"/>
  <c r="G52" i="1"/>
  <c r="H52" i="1"/>
  <c r="B52" i="1"/>
  <c r="E51" i="1"/>
  <c r="F51" i="1"/>
  <c r="G51" i="1"/>
  <c r="H51" i="1"/>
  <c r="I23" i="1"/>
  <c r="I22" i="1"/>
  <c r="B25" i="8"/>
  <c r="G24" i="8"/>
  <c r="E24" i="8"/>
  <c r="G23" i="8"/>
  <c r="E23" i="8"/>
  <c r="I21" i="1" l="1"/>
  <c r="D25" i="1"/>
  <c r="E25" i="1"/>
  <c r="F25" i="1"/>
  <c r="H25" i="1"/>
  <c r="G25" i="1"/>
  <c r="C25" i="1"/>
  <c r="B25" i="1"/>
  <c r="G22" i="8"/>
  <c r="E22" i="8"/>
  <c r="G21" i="8"/>
  <c r="E21" i="8"/>
  <c r="G20" i="8"/>
  <c r="E20" i="8"/>
  <c r="G19" i="8"/>
  <c r="E19" i="8"/>
  <c r="G18" i="8"/>
  <c r="E18" i="8"/>
  <c r="G17" i="8"/>
  <c r="E17" i="8"/>
  <c r="G16" i="8"/>
  <c r="E16" i="8"/>
  <c r="G15" i="8"/>
  <c r="E15" i="8"/>
  <c r="G14" i="8"/>
  <c r="E14" i="8"/>
  <c r="G13" i="8"/>
  <c r="E13" i="8"/>
  <c r="G12" i="8"/>
  <c r="E12" i="8"/>
  <c r="G11" i="8"/>
  <c r="G10" i="8"/>
  <c r="E10" i="8"/>
  <c r="G9" i="8"/>
  <c r="E9" i="8"/>
  <c r="G8" i="8"/>
  <c r="E8" i="8"/>
  <c r="G7" i="8"/>
  <c r="E7" i="8"/>
  <c r="G6" i="8"/>
  <c r="E6" i="8"/>
  <c r="G5" i="8"/>
  <c r="E5" i="8"/>
  <c r="G4" i="8"/>
  <c r="E4" i="8"/>
  <c r="G3" i="8"/>
  <c r="E3" i="8"/>
  <c r="G2" i="8"/>
  <c r="E2" i="8"/>
  <c r="G43" i="1"/>
  <c r="G36" i="1"/>
  <c r="F31" i="1"/>
  <c r="D31" i="1"/>
  <c r="D44" i="1"/>
  <c r="C46" i="1"/>
  <c r="C34" i="1"/>
  <c r="C33" i="1"/>
  <c r="C32" i="1"/>
  <c r="H46" i="1"/>
  <c r="H45" i="1"/>
  <c r="H35" i="1"/>
  <c r="H34" i="1"/>
  <c r="H33" i="1"/>
  <c r="H32" i="1"/>
  <c r="G46" i="1"/>
  <c r="G45" i="1"/>
  <c r="G32" i="1"/>
  <c r="F45" i="1"/>
  <c r="F32" i="1"/>
  <c r="E46" i="1"/>
  <c r="E45" i="1"/>
  <c r="E32" i="1"/>
  <c r="D45" i="1"/>
  <c r="D32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C48" i="1"/>
  <c r="C47" i="1"/>
  <c r="C45" i="1"/>
  <c r="C44" i="1"/>
  <c r="C38" i="1"/>
  <c r="C37" i="1"/>
  <c r="C36" i="1"/>
  <c r="C35" i="1"/>
  <c r="C41" i="1"/>
  <c r="C42" i="1"/>
  <c r="E44" i="1"/>
  <c r="D35" i="1"/>
  <c r="E35" i="1"/>
  <c r="F35" i="1"/>
  <c r="G35" i="1"/>
  <c r="H47" i="1"/>
  <c r="D47" i="1"/>
  <c r="E47" i="1"/>
  <c r="F47" i="1"/>
  <c r="G47" i="1"/>
  <c r="D40" i="1"/>
  <c r="F40" i="1"/>
  <c r="H40" i="1"/>
  <c r="D39" i="1"/>
  <c r="F39" i="1"/>
  <c r="G39" i="1"/>
  <c r="H39" i="1"/>
  <c r="E31" i="1"/>
  <c r="G31" i="1"/>
  <c r="H31" i="1"/>
  <c r="D49" i="1"/>
  <c r="E49" i="1"/>
  <c r="F49" i="1"/>
  <c r="G49" i="1"/>
  <c r="H49" i="1"/>
  <c r="D48" i="1"/>
  <c r="E48" i="1"/>
  <c r="F48" i="1"/>
  <c r="G48" i="1"/>
  <c r="H48" i="1"/>
  <c r="F44" i="1"/>
  <c r="G44" i="1"/>
  <c r="H44" i="1"/>
  <c r="D43" i="1"/>
  <c r="E43" i="1"/>
  <c r="F43" i="1"/>
  <c r="H43" i="1"/>
  <c r="D42" i="1"/>
  <c r="E42" i="1"/>
  <c r="F42" i="1"/>
  <c r="G42" i="1"/>
  <c r="H42" i="1"/>
  <c r="D41" i="1"/>
  <c r="E41" i="1"/>
  <c r="F41" i="1"/>
  <c r="G41" i="1"/>
  <c r="H41" i="1"/>
  <c r="D38" i="1"/>
  <c r="E38" i="1"/>
  <c r="F38" i="1"/>
  <c r="G38" i="1"/>
  <c r="H38" i="1"/>
  <c r="D37" i="1"/>
  <c r="E37" i="1"/>
  <c r="F37" i="1"/>
  <c r="G37" i="1"/>
  <c r="H37" i="1"/>
  <c r="D36" i="1"/>
  <c r="E36" i="1"/>
  <c r="F36" i="1"/>
  <c r="H36" i="1"/>
  <c r="D34" i="1"/>
  <c r="E34" i="1"/>
  <c r="F34" i="1"/>
  <c r="G34" i="1"/>
  <c r="E33" i="1"/>
  <c r="F33" i="1"/>
  <c r="G33" i="1"/>
  <c r="D3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" i="1"/>
  <c r="I25" i="1" l="1"/>
  <c r="J21" i="1" s="1"/>
  <c r="M25" i="1"/>
  <c r="J6" i="1"/>
  <c r="J4" i="1"/>
  <c r="J5" i="1"/>
  <c r="J3" i="1"/>
  <c r="J23" i="1" l="1"/>
  <c r="J22" i="1"/>
  <c r="J12" i="1"/>
  <c r="J10" i="1"/>
  <c r="J7" i="1"/>
  <c r="J20" i="1"/>
  <c r="J13" i="1"/>
  <c r="J8" i="1"/>
  <c r="J16" i="1"/>
  <c r="J19" i="1"/>
  <c r="J11" i="1"/>
  <c r="J18" i="1"/>
  <c r="J15" i="1"/>
  <c r="J9" i="1"/>
  <c r="J14" i="1"/>
  <c r="J17" i="1"/>
</calcChain>
</file>

<file path=xl/sharedStrings.xml><?xml version="1.0" encoding="utf-8"?>
<sst xmlns="http://schemas.openxmlformats.org/spreadsheetml/2006/main" count="202" uniqueCount="53">
  <si>
    <t>Hydrophobic</t>
  </si>
  <si>
    <t>Pi-Stacking</t>
  </si>
  <si>
    <t>Pi-Cation</t>
  </si>
  <si>
    <t>SUM</t>
  </si>
  <si>
    <t>Fatty Acyl</t>
  </si>
  <si>
    <t>Glycerolipid</t>
  </si>
  <si>
    <t>Normalized Values</t>
  </si>
  <si>
    <t>(Percentage Form)</t>
  </si>
  <si>
    <t xml:space="preserve">Lipid </t>
  </si>
  <si>
    <t>Total Entries</t>
  </si>
  <si>
    <t xml:space="preserve">After Duplicated Deleted excel </t>
  </si>
  <si>
    <t>PDB data bank</t>
  </si>
  <si>
    <t>Files missing</t>
  </si>
  <si>
    <t>PLIP Analysis</t>
  </si>
  <si>
    <t>Missing Plip</t>
  </si>
  <si>
    <t xml:space="preserve">Prenol </t>
  </si>
  <si>
    <t>Polyketide</t>
  </si>
  <si>
    <t>Fatty Acyl Prenol</t>
  </si>
  <si>
    <t>Fatty Acyl Saccharolipid</t>
  </si>
  <si>
    <t>Fatty Acyl Sphingolipid</t>
  </si>
  <si>
    <t>Glycerolipid Glycerophopholipid</t>
  </si>
  <si>
    <t xml:space="preserve">Glycerolipid </t>
  </si>
  <si>
    <t>% of Entries</t>
  </si>
  <si>
    <t>Glycerophospholipid</t>
  </si>
  <si>
    <t>Saccharolipid</t>
  </si>
  <si>
    <t>Sphingolipid</t>
  </si>
  <si>
    <t>Hydrophobic + Hydrogen Bond + Salt Bridges</t>
  </si>
  <si>
    <t>Others</t>
  </si>
  <si>
    <t>Fatty Acyl Saccharolipid Prenol</t>
  </si>
  <si>
    <t>Fatty Acyl Sterol</t>
  </si>
  <si>
    <t>Fatty Acyl Glycerolipid</t>
  </si>
  <si>
    <t>Fatty Acyl Glyceropholipid</t>
  </si>
  <si>
    <t>Fatty Polyketide</t>
  </si>
  <si>
    <t>Fatty Prenol Polyketide</t>
  </si>
  <si>
    <t xml:space="preserve">Fatty Prenol Sterol </t>
  </si>
  <si>
    <t>Polyketide Prenol Sterol</t>
  </si>
  <si>
    <t>Prenol Glycerolipid</t>
  </si>
  <si>
    <t>Prenol Polyketide</t>
  </si>
  <si>
    <t>Sterol</t>
  </si>
  <si>
    <t>Prenol Sterol</t>
  </si>
  <si>
    <t>Lipid - Total number of PLIP interactions</t>
  </si>
  <si>
    <t>Sum</t>
  </si>
  <si>
    <t>Metal-Coordinated</t>
  </si>
  <si>
    <t>Salt Bridge</t>
  </si>
  <si>
    <t>Halogen Bond</t>
  </si>
  <si>
    <t>Hydrogen Bond</t>
  </si>
  <si>
    <t>Lipid class</t>
  </si>
  <si>
    <t>Median pocket volume (Å³)</t>
  </si>
  <si>
    <t>Prenol</t>
  </si>
  <si>
    <t>Spingolipid</t>
  </si>
  <si>
    <t>Median lipid volume (Å³)</t>
  </si>
  <si>
    <t>Median hydrophobicity score</t>
  </si>
  <si>
    <t>Median proportion polar atoms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</si>
</sst>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2"/>
      <color theme="1"/>
      <name val="Aptos Narrow"/>
      <family val="2"/>
      <scheme val="minor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Aptos Narrow"/>
      <scheme val="minor"/>
    </font>
    <font>
      <sz val="12"/>
      <color rgb="FF0A0A0A"/>
      <name val="Times New Roman"/>
      <family val="1"/>
    </font>
    <font>
      <b/>
      <u/>
      <sz val="12"/>
      <color theme="1"/>
      <name val="Times New Roman"/>
      <family val="1"/>
    </font>
    <font>
      <sz val="14"/>
      <color rgb="FF0A0A0A"/>
      <name val="Times New Roman"/>
      <family val="1"/>
    </font>
    <font>
      <sz val="11"/>
      <color rgb="FF000000"/>
      <name val="Menlo"/>
      <family val="2"/>
    </font>
    <font>
      <sz val="11"/>
      <color theme="1"/>
      <name val="Times New Roman"/>
      <family val="1"/>
    </font>
    <font>
      <sz val="12"/>
      <color rgb="FFFF0000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6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7" fillId="0" borderId="0" xfId="0" applyFont="1"/>
    <xf numFmtId="0" fontId="8" fillId="0" borderId="0" xfId="0" applyFont="1"/>
    <xf numFmtId="164" fontId="0" fillId="0" borderId="0" xfId="0" applyNumberFormat="1"/>
    <xf numFmtId="2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6" borderId="0" xfId="0" applyNumberFormat="1" applyFont="1" applyFill="1"/>
    <xf numFmtId="0" fontId="10" fillId="0" borderId="0" xfId="0" applyFont="1"/>
    <xf numFmtId="164" fontId="2" fillId="0" borderId="0" xfId="0" applyNumberFormat="1" applyFont="1"/>
    <xf numFmtId="0" fontId="5" fillId="2" borderId="2" xfId="0" applyFont="1" applyFill="1" applyBorder="1" applyAlignment="1">
      <alignment horizontal="center" vertical="center"/>
    </xf>
    <xf numFmtId="2" fontId="5" fillId="2" borderId="1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/>
    <xf numFmtId="0" fontId="2" fillId="3" borderId="0" xfId="0" applyFont="1" applyFill="1"/>
    <xf numFmtId="2" fontId="2" fillId="0" borderId="0" xfId="0" applyNumberFormat="1" applyFont="1"/>
    <xf numFmtId="0" fontId="9" fillId="3" borderId="0" xfId="0" applyFont="1" applyFill="1"/>
    <xf numFmtId="2" fontId="9" fillId="0" borderId="0" xfId="0" applyNumberFormat="1" applyFont="1"/>
    <xf numFmtId="0" fontId="9" fillId="7" borderId="0" xfId="0" applyFont="1" applyFill="1"/>
    <xf numFmtId="0" fontId="2" fillId="8" borderId="0" xfId="0" applyFont="1" applyFill="1"/>
    <xf numFmtId="0" fontId="2" fillId="7" borderId="0" xfId="0" applyFont="1" applyFill="1"/>
    <xf numFmtId="0" fontId="12" fillId="2" borderId="1" xfId="0" applyFont="1" applyFill="1" applyBorder="1" applyAlignment="1">
      <alignment horizontal="center" vertical="center"/>
    </xf>
    <xf numFmtId="2" fontId="2" fillId="4" borderId="0" xfId="0" applyNumberFormat="1" applyFont="1" applyFill="1" applyAlignment="1">
      <alignment horizontal="right"/>
    </xf>
    <xf numFmtId="0" fontId="2" fillId="4" borderId="0" xfId="0" applyFont="1" applyFill="1"/>
    <xf numFmtId="0" fontId="2" fillId="9" borderId="0" xfId="0" applyFont="1" applyFill="1"/>
    <xf numFmtId="2" fontId="2" fillId="9" borderId="0" xfId="0" applyNumberFormat="1" applyFont="1" applyFill="1"/>
    <xf numFmtId="0" fontId="2" fillId="10" borderId="0" xfId="0" applyFont="1" applyFill="1"/>
    <xf numFmtId="0" fontId="3" fillId="0" borderId="0" xfId="0" applyFont="1"/>
    <xf numFmtId="0" fontId="3" fillId="0" borderId="0" xfId="0" applyFont="1" applyAlignment="1">
      <alignment horizontal="left"/>
    </xf>
    <xf numFmtId="0" fontId="0" fillId="2" borderId="0" xfId="0" applyFill="1"/>
    <xf numFmtId="0" fontId="5" fillId="5" borderId="4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DF27F-622C-E945-AC83-8D4C50425F3F}">
  <dimension ref="A1:I31"/>
  <sheetViews>
    <sheetView tabSelected="1" zoomScale="183" zoomScaleNormal="183" workbookViewId="0">
      <selection activeCell="I23" sqref="I23"/>
    </sheetView>
  </sheetViews>
  <sheetFormatPr baseColWidth="10" defaultRowHeight="16" x14ac:dyDescent="0.2"/>
  <cols>
    <col min="1" max="1" width="27.5" bestFit="1" customWidth="1"/>
    <col min="2" max="2" width="11.1640625" bestFit="1" customWidth="1"/>
    <col min="3" max="3" width="26.6640625" bestFit="1" customWidth="1"/>
    <col min="4" max="4" width="12.83203125" bestFit="1" customWidth="1"/>
    <col min="5" max="5" width="11.33203125" bestFit="1" customWidth="1"/>
    <col min="6" max="6" width="14" customWidth="1"/>
    <col min="7" max="7" width="10.5" bestFit="1" customWidth="1"/>
    <col min="8" max="8" width="33.33203125" style="11" bestFit="1" customWidth="1"/>
    <col min="9" max="9" width="35.83203125" customWidth="1"/>
  </cols>
  <sheetData>
    <row r="1" spans="1:9" ht="17" thickBot="1" x14ac:dyDescent="0.25">
      <c r="A1" s="13" t="s">
        <v>8</v>
      </c>
      <c r="B1" s="14" t="s">
        <v>9</v>
      </c>
      <c r="C1" s="14" t="s">
        <v>10</v>
      </c>
      <c r="D1" s="14" t="s">
        <v>11</v>
      </c>
      <c r="E1" s="15" t="s">
        <v>12</v>
      </c>
      <c r="F1" s="16" t="s">
        <v>13</v>
      </c>
      <c r="G1" s="17" t="s">
        <v>14</v>
      </c>
      <c r="H1" s="18" t="s">
        <v>22</v>
      </c>
      <c r="I1" s="2"/>
    </row>
    <row r="2" spans="1:9" x14ac:dyDescent="0.2">
      <c r="A2" s="2" t="s">
        <v>15</v>
      </c>
      <c r="B2" s="2">
        <v>21075</v>
      </c>
      <c r="C2" s="2">
        <v>16830</v>
      </c>
      <c r="D2" s="2">
        <v>16830</v>
      </c>
      <c r="E2" s="2">
        <f>C2-D2</f>
        <v>0</v>
      </c>
      <c r="F2" s="2">
        <v>16830</v>
      </c>
      <c r="G2" s="2">
        <f>D2-F2</f>
        <v>0</v>
      </c>
      <c r="H2" s="19">
        <f>(F2/$F$25)*100</f>
        <v>14.791443286284297</v>
      </c>
      <c r="I2" s="2" t="s">
        <v>15</v>
      </c>
    </row>
    <row r="3" spans="1:9" x14ac:dyDescent="0.2">
      <c r="A3" s="2" t="s">
        <v>4</v>
      </c>
      <c r="B3" s="2">
        <v>33078</v>
      </c>
      <c r="C3" s="2">
        <v>30537</v>
      </c>
      <c r="D3" s="20">
        <v>30537</v>
      </c>
      <c r="E3" s="2">
        <f t="shared" ref="E3:E24" si="0">C3-D3</f>
        <v>0</v>
      </c>
      <c r="F3" s="2">
        <v>30537</v>
      </c>
      <c r="G3" s="2">
        <f t="shared" ref="G3:G24" si="1">D3-F3</f>
        <v>0</v>
      </c>
      <c r="H3" s="19">
        <f t="shared" ref="H3:H24" si="2">(F3/$F$25)*100</f>
        <v>26.838164208750065</v>
      </c>
      <c r="I3" s="2" t="s">
        <v>4</v>
      </c>
    </row>
    <row r="4" spans="1:9" x14ac:dyDescent="0.2">
      <c r="A4" s="2" t="s">
        <v>16</v>
      </c>
      <c r="B4" s="2">
        <v>3727</v>
      </c>
      <c r="C4" s="2">
        <v>2616</v>
      </c>
      <c r="D4" s="20">
        <v>2616</v>
      </c>
      <c r="E4" s="2">
        <f t="shared" si="0"/>
        <v>0</v>
      </c>
      <c r="F4" s="2">
        <v>2616</v>
      </c>
      <c r="G4" s="2">
        <f t="shared" si="1"/>
        <v>0</v>
      </c>
      <c r="H4" s="19">
        <f t="shared" si="2"/>
        <v>2.299133430595349</v>
      </c>
      <c r="I4" s="2" t="s">
        <v>16</v>
      </c>
    </row>
    <row r="5" spans="1:9" x14ac:dyDescent="0.2">
      <c r="A5" s="10" t="s">
        <v>17</v>
      </c>
      <c r="B5" s="2">
        <v>680</v>
      </c>
      <c r="C5" s="2">
        <v>565</v>
      </c>
      <c r="D5" s="2">
        <v>565</v>
      </c>
      <c r="E5" s="2">
        <f t="shared" si="0"/>
        <v>0</v>
      </c>
      <c r="F5" s="2">
        <v>565</v>
      </c>
      <c r="G5" s="2">
        <f t="shared" si="1"/>
        <v>0</v>
      </c>
      <c r="H5" s="21">
        <f t="shared" si="2"/>
        <v>0.49656360408500461</v>
      </c>
      <c r="I5" s="10" t="s">
        <v>17</v>
      </c>
    </row>
    <row r="6" spans="1:9" x14ac:dyDescent="0.2">
      <c r="A6" s="10" t="s">
        <v>18</v>
      </c>
      <c r="B6" s="2">
        <v>24</v>
      </c>
      <c r="C6" s="2">
        <v>23</v>
      </c>
      <c r="D6" s="2">
        <v>23</v>
      </c>
      <c r="E6" s="2">
        <f t="shared" si="0"/>
        <v>0</v>
      </c>
      <c r="F6" s="2">
        <v>23</v>
      </c>
      <c r="G6" s="2">
        <f t="shared" si="1"/>
        <v>0</v>
      </c>
      <c r="H6" s="21">
        <f t="shared" si="2"/>
        <v>2.0214093617619659E-2</v>
      </c>
      <c r="I6" s="10" t="s">
        <v>18</v>
      </c>
    </row>
    <row r="7" spans="1:9" x14ac:dyDescent="0.2">
      <c r="A7" s="10" t="s">
        <v>28</v>
      </c>
      <c r="B7" s="2">
        <v>31</v>
      </c>
      <c r="C7" s="2">
        <v>26</v>
      </c>
      <c r="D7" s="2">
        <v>26</v>
      </c>
      <c r="E7" s="2">
        <f t="shared" si="0"/>
        <v>0</v>
      </c>
      <c r="F7" s="2">
        <v>26</v>
      </c>
      <c r="G7" s="2">
        <f t="shared" si="1"/>
        <v>0</v>
      </c>
      <c r="H7" s="21">
        <f t="shared" si="2"/>
        <v>2.2850714524265701E-2</v>
      </c>
      <c r="I7" s="10" t="s">
        <v>28</v>
      </c>
    </row>
    <row r="8" spans="1:9" x14ac:dyDescent="0.2">
      <c r="A8" s="10" t="s">
        <v>19</v>
      </c>
      <c r="B8" s="2">
        <v>150</v>
      </c>
      <c r="C8" s="2">
        <v>133</v>
      </c>
      <c r="D8" s="2">
        <v>133</v>
      </c>
      <c r="E8" s="2">
        <f t="shared" si="0"/>
        <v>0</v>
      </c>
      <c r="F8" s="2">
        <v>133</v>
      </c>
      <c r="G8" s="2">
        <f t="shared" si="1"/>
        <v>0</v>
      </c>
      <c r="H8" s="21">
        <f t="shared" si="2"/>
        <v>0.11689019352797456</v>
      </c>
      <c r="I8" s="10" t="s">
        <v>19</v>
      </c>
    </row>
    <row r="9" spans="1:9" x14ac:dyDescent="0.2">
      <c r="A9" s="10" t="s">
        <v>29</v>
      </c>
      <c r="B9" s="2">
        <v>2696</v>
      </c>
      <c r="C9" s="2">
        <v>2048</v>
      </c>
      <c r="D9" s="2">
        <v>2048</v>
      </c>
      <c r="E9" s="2">
        <f t="shared" si="0"/>
        <v>0</v>
      </c>
      <c r="F9" s="2">
        <v>2048</v>
      </c>
      <c r="G9" s="2">
        <f t="shared" si="1"/>
        <v>0</v>
      </c>
      <c r="H9" s="21">
        <f t="shared" si="2"/>
        <v>1.7999332056036983</v>
      </c>
      <c r="I9" s="10" t="s">
        <v>29</v>
      </c>
    </row>
    <row r="10" spans="1:9" x14ac:dyDescent="0.2">
      <c r="A10" s="10" t="s">
        <v>30</v>
      </c>
      <c r="B10" s="2">
        <v>863</v>
      </c>
      <c r="C10" s="2">
        <v>814</v>
      </c>
      <c r="D10" s="2">
        <v>814</v>
      </c>
      <c r="E10" s="2">
        <f t="shared" si="0"/>
        <v>0</v>
      </c>
      <c r="F10" s="2">
        <v>814</v>
      </c>
      <c r="G10" s="2">
        <f t="shared" si="1"/>
        <v>0</v>
      </c>
      <c r="H10" s="21">
        <f t="shared" si="2"/>
        <v>0.71540313933662614</v>
      </c>
      <c r="I10" s="10" t="s">
        <v>30</v>
      </c>
    </row>
    <row r="11" spans="1:9" x14ac:dyDescent="0.2">
      <c r="A11" s="10" t="s">
        <v>31</v>
      </c>
      <c r="B11" s="2">
        <v>10030</v>
      </c>
      <c r="C11" s="2">
        <v>9279</v>
      </c>
      <c r="D11" s="2">
        <v>9278</v>
      </c>
      <c r="E11" s="2">
        <v>0</v>
      </c>
      <c r="F11" s="2">
        <v>9278</v>
      </c>
      <c r="G11" s="2">
        <f t="shared" si="1"/>
        <v>0</v>
      </c>
      <c r="H11" s="21">
        <f t="shared" si="2"/>
        <v>8.1541895906206605</v>
      </c>
      <c r="I11" s="10" t="s">
        <v>31</v>
      </c>
    </row>
    <row r="12" spans="1:9" x14ac:dyDescent="0.2">
      <c r="A12" s="10" t="s">
        <v>32</v>
      </c>
      <c r="B12" s="2">
        <v>142</v>
      </c>
      <c r="C12" s="2">
        <v>89</v>
      </c>
      <c r="D12" s="2">
        <v>89</v>
      </c>
      <c r="E12" s="2">
        <f t="shared" si="0"/>
        <v>0</v>
      </c>
      <c r="F12" s="2">
        <v>89</v>
      </c>
      <c r="G12" s="2">
        <f t="shared" si="1"/>
        <v>0</v>
      </c>
      <c r="H12" s="21">
        <f t="shared" si="2"/>
        <v>7.8219753563832595E-2</v>
      </c>
      <c r="I12" s="10" t="s">
        <v>32</v>
      </c>
    </row>
    <row r="13" spans="1:9" x14ac:dyDescent="0.2">
      <c r="A13" s="10" t="s">
        <v>33</v>
      </c>
      <c r="B13" s="2">
        <v>19</v>
      </c>
      <c r="C13" s="2">
        <v>17</v>
      </c>
      <c r="D13" s="2">
        <v>17</v>
      </c>
      <c r="E13" s="2">
        <f t="shared" si="0"/>
        <v>0</v>
      </c>
      <c r="F13" s="2">
        <v>17</v>
      </c>
      <c r="G13" s="2">
        <f t="shared" si="1"/>
        <v>0</v>
      </c>
      <c r="H13" s="21">
        <f t="shared" si="2"/>
        <v>1.4940851804327575E-2</v>
      </c>
      <c r="I13" s="10" t="s">
        <v>33</v>
      </c>
    </row>
    <row r="14" spans="1:9" x14ac:dyDescent="0.2">
      <c r="A14" s="10" t="s">
        <v>34</v>
      </c>
      <c r="B14" s="2">
        <v>142</v>
      </c>
      <c r="C14" s="2">
        <v>115</v>
      </c>
      <c r="D14" s="2">
        <v>115</v>
      </c>
      <c r="E14" s="2">
        <f t="shared" si="0"/>
        <v>0</v>
      </c>
      <c r="F14" s="2">
        <v>115</v>
      </c>
      <c r="G14" s="2">
        <f t="shared" si="1"/>
        <v>0</v>
      </c>
      <c r="H14" s="21">
        <f t="shared" si="2"/>
        <v>0.1010704680880983</v>
      </c>
      <c r="I14" s="10" t="s">
        <v>34</v>
      </c>
    </row>
    <row r="15" spans="1:9" x14ac:dyDescent="0.2">
      <c r="A15" s="10" t="s">
        <v>20</v>
      </c>
      <c r="B15" s="2">
        <v>263</v>
      </c>
      <c r="C15" s="2">
        <v>259</v>
      </c>
      <c r="D15" s="2">
        <v>259</v>
      </c>
      <c r="E15" s="2">
        <f t="shared" si="0"/>
        <v>0</v>
      </c>
      <c r="F15" s="2">
        <v>259</v>
      </c>
      <c r="G15" s="2">
        <f t="shared" si="1"/>
        <v>0</v>
      </c>
      <c r="H15" s="21">
        <f t="shared" si="2"/>
        <v>0.22762827160710833</v>
      </c>
      <c r="I15" s="10" t="s">
        <v>20</v>
      </c>
    </row>
    <row r="16" spans="1:9" x14ac:dyDescent="0.2">
      <c r="A16" s="10" t="s">
        <v>21</v>
      </c>
      <c r="B16" s="2">
        <v>7983</v>
      </c>
      <c r="C16" s="2">
        <v>7932</v>
      </c>
      <c r="D16" s="2">
        <v>7932</v>
      </c>
      <c r="E16" s="2">
        <f t="shared" si="0"/>
        <v>0</v>
      </c>
      <c r="F16" s="2">
        <v>7932</v>
      </c>
      <c r="G16" s="2">
        <f t="shared" si="1"/>
        <v>0</v>
      </c>
      <c r="H16" s="19">
        <f t="shared" si="2"/>
        <v>6.9712256771721366</v>
      </c>
      <c r="I16" s="10" t="s">
        <v>21</v>
      </c>
    </row>
    <row r="17" spans="1:9" x14ac:dyDescent="0.2">
      <c r="A17" s="10" t="s">
        <v>35</v>
      </c>
      <c r="B17" s="2">
        <v>2</v>
      </c>
      <c r="C17" s="2">
        <v>1</v>
      </c>
      <c r="D17" s="2">
        <v>1</v>
      </c>
      <c r="E17" s="2">
        <f t="shared" si="0"/>
        <v>0</v>
      </c>
      <c r="F17" s="2">
        <v>1</v>
      </c>
      <c r="G17" s="2">
        <f t="shared" si="1"/>
        <v>0</v>
      </c>
      <c r="H17" s="21">
        <f t="shared" si="2"/>
        <v>8.7887363554868081E-4</v>
      </c>
      <c r="I17" s="10" t="s">
        <v>35</v>
      </c>
    </row>
    <row r="18" spans="1:9" x14ac:dyDescent="0.2">
      <c r="A18" s="10" t="s">
        <v>36</v>
      </c>
      <c r="B18" s="2">
        <v>29</v>
      </c>
      <c r="C18" s="2">
        <v>3</v>
      </c>
      <c r="D18" s="2">
        <v>3</v>
      </c>
      <c r="E18" s="2">
        <f t="shared" si="0"/>
        <v>0</v>
      </c>
      <c r="F18" s="2">
        <v>3</v>
      </c>
      <c r="G18" s="2">
        <f t="shared" si="1"/>
        <v>0</v>
      </c>
      <c r="H18" s="21">
        <f t="shared" si="2"/>
        <v>2.6366209066460422E-3</v>
      </c>
      <c r="I18" s="10" t="s">
        <v>36</v>
      </c>
    </row>
    <row r="19" spans="1:9" x14ac:dyDescent="0.2">
      <c r="A19" s="10" t="s">
        <v>37</v>
      </c>
      <c r="B19" s="2">
        <v>435</v>
      </c>
      <c r="C19" s="2">
        <v>347</v>
      </c>
      <c r="D19" s="2">
        <v>347</v>
      </c>
      <c r="E19" s="2">
        <f t="shared" si="0"/>
        <v>0</v>
      </c>
      <c r="F19" s="2">
        <v>347</v>
      </c>
      <c r="G19" s="2">
        <f t="shared" si="1"/>
        <v>0</v>
      </c>
      <c r="H19" s="21">
        <f t="shared" si="2"/>
        <v>0.30496915153539222</v>
      </c>
      <c r="I19" s="10" t="s">
        <v>37</v>
      </c>
    </row>
    <row r="20" spans="1:9" x14ac:dyDescent="0.2">
      <c r="A20" s="10" t="s">
        <v>24</v>
      </c>
      <c r="B20" s="2">
        <v>334</v>
      </c>
      <c r="C20" s="2">
        <v>329</v>
      </c>
      <c r="D20" s="2">
        <v>329</v>
      </c>
      <c r="E20" s="2">
        <f t="shared" si="0"/>
        <v>0</v>
      </c>
      <c r="F20" s="2">
        <v>329</v>
      </c>
      <c r="G20" s="2">
        <f t="shared" si="1"/>
        <v>0</v>
      </c>
      <c r="H20" s="19">
        <f t="shared" si="2"/>
        <v>0.28914942609551597</v>
      </c>
      <c r="I20" s="10" t="s">
        <v>24</v>
      </c>
    </row>
    <row r="21" spans="1:9" x14ac:dyDescent="0.2">
      <c r="A21" s="10" t="s">
        <v>25</v>
      </c>
      <c r="B21" s="2">
        <v>257</v>
      </c>
      <c r="C21" s="2">
        <v>224</v>
      </c>
      <c r="D21" s="2">
        <v>224</v>
      </c>
      <c r="E21" s="2">
        <f t="shared" si="0"/>
        <v>0</v>
      </c>
      <c r="F21" s="2">
        <v>224</v>
      </c>
      <c r="G21" s="2">
        <f t="shared" si="1"/>
        <v>0</v>
      </c>
      <c r="H21" s="19">
        <f t="shared" si="2"/>
        <v>0.19686769436290449</v>
      </c>
      <c r="I21" s="10" t="s">
        <v>25</v>
      </c>
    </row>
    <row r="22" spans="1:9" x14ac:dyDescent="0.2">
      <c r="A22" s="10" t="s">
        <v>38</v>
      </c>
      <c r="B22" s="2">
        <v>7997</v>
      </c>
      <c r="C22" s="2">
        <v>6815</v>
      </c>
      <c r="D22" s="2">
        <v>6815</v>
      </c>
      <c r="E22" s="2">
        <f t="shared" si="0"/>
        <v>0</v>
      </c>
      <c r="F22" s="2">
        <v>6815</v>
      </c>
      <c r="G22" s="2">
        <f t="shared" si="1"/>
        <v>0</v>
      </c>
      <c r="H22" s="19">
        <f t="shared" si="2"/>
        <v>5.9895238262642598</v>
      </c>
      <c r="I22" s="10" t="s">
        <v>38</v>
      </c>
    </row>
    <row r="23" spans="1:9" x14ac:dyDescent="0.2">
      <c r="A23" s="10" t="s">
        <v>23</v>
      </c>
      <c r="B23" s="2">
        <v>37120</v>
      </c>
      <c r="C23" s="2">
        <v>34533</v>
      </c>
      <c r="D23" s="2">
        <v>34533</v>
      </c>
      <c r="E23" s="2">
        <f t="shared" si="0"/>
        <v>0</v>
      </c>
      <c r="F23" s="2">
        <v>34533</v>
      </c>
      <c r="G23" s="2">
        <f t="shared" si="1"/>
        <v>0</v>
      </c>
      <c r="H23" s="19">
        <f t="shared" si="2"/>
        <v>30.350143256402596</v>
      </c>
      <c r="I23" s="10" t="s">
        <v>23</v>
      </c>
    </row>
    <row r="24" spans="1:9" x14ac:dyDescent="0.2">
      <c r="A24" s="10" t="s">
        <v>39</v>
      </c>
      <c r="B24" s="2">
        <v>304</v>
      </c>
      <c r="C24" s="2">
        <v>248</v>
      </c>
      <c r="D24" s="2">
        <v>248</v>
      </c>
      <c r="E24" s="2">
        <f t="shared" si="0"/>
        <v>0</v>
      </c>
      <c r="F24" s="2">
        <v>248</v>
      </c>
      <c r="G24" s="2">
        <f t="shared" si="1"/>
        <v>0</v>
      </c>
      <c r="H24" s="21">
        <f t="shared" si="2"/>
        <v>0.21796066161607286</v>
      </c>
      <c r="I24" s="10" t="s">
        <v>39</v>
      </c>
    </row>
    <row r="25" spans="1:9" x14ac:dyDescent="0.2">
      <c r="A25" s="2"/>
      <c r="B25" s="2">
        <f>SUM(B2:B24)</f>
        <v>127381</v>
      </c>
      <c r="C25" s="2">
        <f>SUM(C2:C24)</f>
        <v>113783</v>
      </c>
      <c r="D25" s="2">
        <f>SUM(D2:D24)</f>
        <v>113782</v>
      </c>
      <c r="E25" s="2">
        <f t="shared" ref="E25:F25" si="3">SUM(E2:E24)</f>
        <v>0</v>
      </c>
      <c r="F25" s="2">
        <f t="shared" si="3"/>
        <v>113782</v>
      </c>
      <c r="G25" s="2">
        <f>SUM(G2:G24)</f>
        <v>0</v>
      </c>
      <c r="H25" s="21">
        <f>SUM(H2:H24)</f>
        <v>100</v>
      </c>
      <c r="I25" s="2"/>
    </row>
    <row r="27" spans="1:9" x14ac:dyDescent="0.2">
      <c r="A27" s="9"/>
    </row>
    <row r="28" spans="1:9" x14ac:dyDescent="0.2">
      <c r="A28" s="9"/>
    </row>
    <row r="29" spans="1:9" x14ac:dyDescent="0.2">
      <c r="A29" s="9"/>
    </row>
    <row r="30" spans="1:9" x14ac:dyDescent="0.2">
      <c r="A30" s="9"/>
    </row>
    <row r="31" spans="1:9" x14ac:dyDescent="0.2">
      <c r="A31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D4017-1040-854C-B05E-D8606AA97648}">
  <dimension ref="A1:P75"/>
  <sheetViews>
    <sheetView zoomScale="135" zoomScaleNormal="135" workbookViewId="0">
      <pane ySplit="1" topLeftCell="A2" activePane="bottomLeft" state="frozen"/>
      <selection pane="bottomLeft" activeCell="B35" sqref="B35"/>
    </sheetView>
  </sheetViews>
  <sheetFormatPr baseColWidth="10" defaultRowHeight="18" x14ac:dyDescent="0.2"/>
  <cols>
    <col min="1" max="1" width="43" style="1" customWidth="1"/>
    <col min="2" max="2" width="19.6640625" style="1" customWidth="1"/>
    <col min="3" max="3" width="19" style="1" bestFit="1" customWidth="1"/>
    <col min="4" max="7" width="14" style="1" bestFit="1" customWidth="1"/>
    <col min="8" max="8" width="20.1640625" style="1" customWidth="1"/>
    <col min="9" max="9" width="8.1640625" style="1" bestFit="1" customWidth="1"/>
    <col min="10" max="10" width="20.33203125" style="12" bestFit="1" customWidth="1"/>
    <col min="11" max="11" width="31" style="1" customWidth="1"/>
    <col min="12" max="12" width="41.5" style="1" customWidth="1"/>
    <col min="13" max="16384" width="10.83203125" style="1"/>
  </cols>
  <sheetData>
    <row r="1" spans="1:16" ht="27" customHeight="1" thickBot="1" x14ac:dyDescent="0.25">
      <c r="A1" s="33" t="s">
        <v>40</v>
      </c>
      <c r="B1" s="22" t="s">
        <v>0</v>
      </c>
      <c r="C1" s="22" t="s">
        <v>45</v>
      </c>
      <c r="D1" s="22" t="s">
        <v>1</v>
      </c>
      <c r="E1" s="22" t="s">
        <v>2</v>
      </c>
      <c r="F1" s="22" t="s">
        <v>44</v>
      </c>
      <c r="G1" s="22" t="s">
        <v>43</v>
      </c>
      <c r="H1" s="22" t="s">
        <v>42</v>
      </c>
      <c r="I1" s="22" t="s">
        <v>3</v>
      </c>
      <c r="J1" s="23" t="s">
        <v>6</v>
      </c>
      <c r="K1" s="24"/>
      <c r="L1" s="2"/>
    </row>
    <row r="2" spans="1:16" x14ac:dyDescent="0.2">
      <c r="A2" s="2" t="s">
        <v>38</v>
      </c>
      <c r="B2" s="2">
        <v>26564</v>
      </c>
      <c r="C2" s="2">
        <v>5276</v>
      </c>
      <c r="D2" s="25">
        <v>122</v>
      </c>
      <c r="E2" s="2">
        <v>24</v>
      </c>
      <c r="F2" s="2">
        <v>4</v>
      </c>
      <c r="G2" s="2">
        <v>1085</v>
      </c>
      <c r="H2" s="2">
        <v>0</v>
      </c>
      <c r="I2" s="26">
        <f t="shared" ref="I2:I23" si="0">SUM(B2:H2)</f>
        <v>33075</v>
      </c>
      <c r="J2" s="27">
        <f>(I2/$I$25)*100</f>
        <v>6.3487097195242743</v>
      </c>
      <c r="K2" s="2" t="s">
        <v>38</v>
      </c>
      <c r="L2" s="2"/>
      <c r="P2" s="2"/>
    </row>
    <row r="3" spans="1:16" x14ac:dyDescent="0.2">
      <c r="A3" s="2" t="s">
        <v>28</v>
      </c>
      <c r="B3" s="2">
        <v>195</v>
      </c>
      <c r="C3" s="2">
        <v>69</v>
      </c>
      <c r="D3" s="2">
        <v>0</v>
      </c>
      <c r="E3" s="2">
        <v>0</v>
      </c>
      <c r="F3" s="2">
        <v>0</v>
      </c>
      <c r="G3" s="2">
        <v>42</v>
      </c>
      <c r="H3" s="2">
        <v>0</v>
      </c>
      <c r="I3" s="26">
        <f t="shared" si="0"/>
        <v>306</v>
      </c>
      <c r="J3" s="27">
        <f t="shared" ref="J3:J23" si="1">(I3/$I$25)*100</f>
        <v>5.8736362030972877E-2</v>
      </c>
      <c r="K3" s="2" t="s">
        <v>28</v>
      </c>
      <c r="L3" s="2"/>
      <c r="P3" s="2"/>
    </row>
    <row r="4" spans="1:16" x14ac:dyDescent="0.2">
      <c r="A4" s="2" t="s">
        <v>29</v>
      </c>
      <c r="B4" s="2">
        <v>7813</v>
      </c>
      <c r="C4" s="2">
        <v>939</v>
      </c>
      <c r="D4" s="2">
        <v>18</v>
      </c>
      <c r="E4" s="2">
        <v>5</v>
      </c>
      <c r="F4" s="2">
        <v>0</v>
      </c>
      <c r="G4" s="2">
        <v>570</v>
      </c>
      <c r="H4" s="2">
        <v>0</v>
      </c>
      <c r="I4" s="26">
        <f t="shared" si="0"/>
        <v>9345</v>
      </c>
      <c r="J4" s="27">
        <f t="shared" si="1"/>
        <v>1.7937624286909852</v>
      </c>
      <c r="K4" s="2" t="s">
        <v>29</v>
      </c>
      <c r="L4" s="2"/>
      <c r="P4" s="2"/>
    </row>
    <row r="5" spans="1:16" x14ac:dyDescent="0.2">
      <c r="A5" s="2" t="s">
        <v>30</v>
      </c>
      <c r="B5" s="2">
        <v>2882</v>
      </c>
      <c r="C5" s="2">
        <v>616</v>
      </c>
      <c r="D5" s="2">
        <v>0</v>
      </c>
      <c r="E5" s="2">
        <v>0</v>
      </c>
      <c r="F5" s="2">
        <v>0</v>
      </c>
      <c r="G5" s="2">
        <v>67</v>
      </c>
      <c r="H5" s="2">
        <v>0</v>
      </c>
      <c r="I5" s="26">
        <f t="shared" si="0"/>
        <v>3565</v>
      </c>
      <c r="J5" s="27">
        <f t="shared" si="1"/>
        <v>0.68429781255038657</v>
      </c>
      <c r="K5" s="2" t="s">
        <v>30</v>
      </c>
      <c r="L5" s="2"/>
      <c r="P5" s="10"/>
    </row>
    <row r="6" spans="1:16" x14ac:dyDescent="0.2">
      <c r="A6" s="2" t="s">
        <v>32</v>
      </c>
      <c r="B6" s="2">
        <v>497</v>
      </c>
      <c r="C6" s="2">
        <v>202</v>
      </c>
      <c r="D6" s="2">
        <v>34</v>
      </c>
      <c r="E6" s="2">
        <v>10</v>
      </c>
      <c r="F6" s="2">
        <v>7</v>
      </c>
      <c r="G6" s="2">
        <v>67</v>
      </c>
      <c r="H6" s="2">
        <v>0</v>
      </c>
      <c r="I6" s="26">
        <f t="shared" si="0"/>
        <v>817</v>
      </c>
      <c r="J6" s="27">
        <f t="shared" si="1"/>
        <v>0.15682224764478706</v>
      </c>
      <c r="K6" s="2" t="s">
        <v>32</v>
      </c>
      <c r="L6" s="2"/>
      <c r="P6" s="10"/>
    </row>
    <row r="7" spans="1:16" x14ac:dyDescent="0.2">
      <c r="A7" s="2" t="s">
        <v>33</v>
      </c>
      <c r="B7" s="2">
        <v>112</v>
      </c>
      <c r="C7" s="2">
        <v>42</v>
      </c>
      <c r="D7" s="2">
        <v>0</v>
      </c>
      <c r="E7" s="2">
        <v>0</v>
      </c>
      <c r="F7" s="2">
        <v>0</v>
      </c>
      <c r="G7" s="2">
        <v>11</v>
      </c>
      <c r="H7" s="2">
        <v>0</v>
      </c>
      <c r="I7" s="26">
        <f t="shared" si="0"/>
        <v>165</v>
      </c>
      <c r="J7" s="27">
        <f t="shared" si="1"/>
        <v>3.1671567761799101E-2</v>
      </c>
      <c r="K7" s="2" t="s">
        <v>33</v>
      </c>
      <c r="L7" s="2"/>
      <c r="P7" s="10"/>
    </row>
    <row r="8" spans="1:16" x14ac:dyDescent="0.2">
      <c r="A8" s="2" t="s">
        <v>34</v>
      </c>
      <c r="B8" s="2">
        <v>328</v>
      </c>
      <c r="C8" s="2">
        <v>126</v>
      </c>
      <c r="D8" s="2">
        <v>0</v>
      </c>
      <c r="E8" s="2">
        <v>0</v>
      </c>
      <c r="F8" s="2">
        <v>0</v>
      </c>
      <c r="G8" s="2">
        <v>9</v>
      </c>
      <c r="H8" s="2">
        <v>0</v>
      </c>
      <c r="I8" s="26">
        <f t="shared" si="0"/>
        <v>463</v>
      </c>
      <c r="J8" s="27">
        <f t="shared" si="1"/>
        <v>8.887233862856353E-2</v>
      </c>
      <c r="K8" s="2" t="s">
        <v>34</v>
      </c>
      <c r="L8" s="2"/>
      <c r="P8" s="10"/>
    </row>
    <row r="9" spans="1:16" x14ac:dyDescent="0.2">
      <c r="A9" s="2" t="s">
        <v>20</v>
      </c>
      <c r="B9" s="2">
        <v>451</v>
      </c>
      <c r="C9" s="2">
        <v>173</v>
      </c>
      <c r="D9" s="2">
        <v>0</v>
      </c>
      <c r="E9" s="2">
        <v>37</v>
      </c>
      <c r="F9" s="2">
        <v>0</v>
      </c>
      <c r="G9" s="2">
        <v>56</v>
      </c>
      <c r="H9" s="2">
        <v>0</v>
      </c>
      <c r="I9" s="26">
        <f t="shared" si="0"/>
        <v>717</v>
      </c>
      <c r="J9" s="27">
        <f t="shared" si="1"/>
        <v>0.13762735809218155</v>
      </c>
      <c r="K9" s="2" t="s">
        <v>20</v>
      </c>
      <c r="L9" s="2"/>
      <c r="P9" s="10"/>
    </row>
    <row r="10" spans="1:16" x14ac:dyDescent="0.2">
      <c r="A10" s="2" t="s">
        <v>21</v>
      </c>
      <c r="B10" s="25">
        <v>22378</v>
      </c>
      <c r="C10" s="25">
        <v>5796</v>
      </c>
      <c r="D10" s="2">
        <v>0</v>
      </c>
      <c r="E10" s="2">
        <v>0</v>
      </c>
      <c r="F10" s="2">
        <v>0</v>
      </c>
      <c r="G10" s="25">
        <v>1787</v>
      </c>
      <c r="H10" s="2">
        <v>0</v>
      </c>
      <c r="I10" s="26">
        <f t="shared" si="0"/>
        <v>29961</v>
      </c>
      <c r="J10" s="27">
        <f t="shared" si="1"/>
        <v>5.7509808588561384</v>
      </c>
      <c r="K10" s="2" t="s">
        <v>21</v>
      </c>
      <c r="L10" s="2"/>
      <c r="P10" s="10"/>
    </row>
    <row r="11" spans="1:16" x14ac:dyDescent="0.2">
      <c r="A11" s="2" t="s">
        <v>16</v>
      </c>
      <c r="B11" s="2">
        <v>11380</v>
      </c>
      <c r="C11" s="2">
        <v>5701</v>
      </c>
      <c r="D11" s="2">
        <v>960</v>
      </c>
      <c r="E11" s="2">
        <v>134</v>
      </c>
      <c r="F11" s="2">
        <v>74</v>
      </c>
      <c r="G11" s="2">
        <v>698</v>
      </c>
      <c r="H11" s="2">
        <v>0</v>
      </c>
      <c r="I11" s="26">
        <f t="shared" si="0"/>
        <v>18947</v>
      </c>
      <c r="J11" s="27">
        <f t="shared" si="1"/>
        <v>3.6368557235321668</v>
      </c>
      <c r="K11" s="2" t="s">
        <v>16</v>
      </c>
      <c r="L11" s="2"/>
      <c r="P11" s="10"/>
    </row>
    <row r="12" spans="1:16" x14ac:dyDescent="0.2">
      <c r="A12" s="2" t="s">
        <v>35</v>
      </c>
      <c r="B12" s="2">
        <v>8</v>
      </c>
      <c r="C12" s="2">
        <v>1</v>
      </c>
      <c r="D12" s="2">
        <v>2</v>
      </c>
      <c r="E12" s="2">
        <v>0</v>
      </c>
      <c r="F12" s="2">
        <v>0</v>
      </c>
      <c r="G12" s="2">
        <v>0</v>
      </c>
      <c r="H12" s="2">
        <v>0</v>
      </c>
      <c r="I12" s="26">
        <f t="shared" si="0"/>
        <v>11</v>
      </c>
      <c r="J12" s="27">
        <f t="shared" si="1"/>
        <v>2.1114378507866068E-3</v>
      </c>
      <c r="K12" s="2" t="s">
        <v>35</v>
      </c>
      <c r="L12" s="2"/>
      <c r="P12" s="10"/>
    </row>
    <row r="13" spans="1:16" x14ac:dyDescent="0.2">
      <c r="A13" s="2" t="s">
        <v>36</v>
      </c>
      <c r="B13" s="2">
        <v>19</v>
      </c>
      <c r="C13" s="2">
        <v>14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6">
        <f t="shared" si="0"/>
        <v>33</v>
      </c>
      <c r="J13" s="27">
        <f t="shared" si="1"/>
        <v>6.3343135523598196E-3</v>
      </c>
      <c r="K13" s="2" t="s">
        <v>36</v>
      </c>
      <c r="L13" s="2"/>
      <c r="P13" s="10"/>
    </row>
    <row r="14" spans="1:16" x14ac:dyDescent="0.2">
      <c r="A14" s="2" t="s">
        <v>15</v>
      </c>
      <c r="B14" s="2">
        <v>86478</v>
      </c>
      <c r="C14" s="2">
        <v>8886</v>
      </c>
      <c r="D14" s="2">
        <v>491</v>
      </c>
      <c r="E14" s="2">
        <v>49</v>
      </c>
      <c r="F14" s="2">
        <v>24</v>
      </c>
      <c r="G14" s="2">
        <v>2210</v>
      </c>
      <c r="H14" s="2">
        <v>8</v>
      </c>
      <c r="I14" s="26">
        <f t="shared" si="0"/>
        <v>98146</v>
      </c>
      <c r="J14" s="27">
        <f t="shared" si="1"/>
        <v>18.839016300300209</v>
      </c>
      <c r="K14" s="2" t="s">
        <v>15</v>
      </c>
      <c r="L14" s="2"/>
      <c r="P14" s="10"/>
    </row>
    <row r="15" spans="1:16" x14ac:dyDescent="0.2">
      <c r="A15" s="2" t="s">
        <v>37</v>
      </c>
      <c r="B15" s="2">
        <v>2055</v>
      </c>
      <c r="C15" s="2">
        <v>134</v>
      </c>
      <c r="D15" s="2">
        <v>61</v>
      </c>
      <c r="E15" s="2">
        <v>2</v>
      </c>
      <c r="F15" s="2">
        <v>2</v>
      </c>
      <c r="G15" s="2">
        <v>13</v>
      </c>
      <c r="H15" s="2">
        <v>0</v>
      </c>
      <c r="I15" s="26">
        <f t="shared" si="0"/>
        <v>2267</v>
      </c>
      <c r="J15" s="27">
        <f t="shared" si="1"/>
        <v>0.43514814615756697</v>
      </c>
      <c r="K15" s="2" t="s">
        <v>37</v>
      </c>
      <c r="L15" s="2"/>
      <c r="P15" s="10"/>
    </row>
    <row r="16" spans="1:16" x14ac:dyDescent="0.2">
      <c r="A16" s="2" t="s">
        <v>24</v>
      </c>
      <c r="B16" s="2">
        <v>726</v>
      </c>
      <c r="C16" s="2">
        <v>3052</v>
      </c>
      <c r="D16" s="2">
        <v>63</v>
      </c>
      <c r="E16" s="2">
        <v>5</v>
      </c>
      <c r="F16" s="2">
        <v>0</v>
      </c>
      <c r="G16" s="2">
        <v>631</v>
      </c>
      <c r="H16" s="2">
        <v>0</v>
      </c>
      <c r="I16" s="26">
        <f t="shared" si="0"/>
        <v>4477</v>
      </c>
      <c r="J16" s="27">
        <f t="shared" si="1"/>
        <v>0.85935520527014886</v>
      </c>
      <c r="K16" s="2" t="s">
        <v>24</v>
      </c>
      <c r="L16" s="2"/>
      <c r="P16" s="10"/>
    </row>
    <row r="17" spans="1:16" x14ac:dyDescent="0.2">
      <c r="A17" s="2" t="s">
        <v>25</v>
      </c>
      <c r="B17" s="2">
        <v>1728</v>
      </c>
      <c r="C17" s="2">
        <v>486</v>
      </c>
      <c r="D17" s="2">
        <v>1</v>
      </c>
      <c r="E17" s="2">
        <v>2</v>
      </c>
      <c r="F17" s="2">
        <v>2</v>
      </c>
      <c r="G17" s="2">
        <v>108</v>
      </c>
      <c r="H17" s="2">
        <v>0</v>
      </c>
      <c r="I17" s="26">
        <f t="shared" si="0"/>
        <v>2327</v>
      </c>
      <c r="J17" s="27">
        <f t="shared" si="1"/>
        <v>0.44666507988913029</v>
      </c>
      <c r="K17" s="2" t="s">
        <v>25</v>
      </c>
      <c r="L17" s="2"/>
      <c r="P17" s="10"/>
    </row>
    <row r="18" spans="1:16" x14ac:dyDescent="0.2">
      <c r="A18" s="2" t="s">
        <v>4</v>
      </c>
      <c r="B18" s="2">
        <v>70121</v>
      </c>
      <c r="C18" s="2">
        <v>34134</v>
      </c>
      <c r="D18" s="2">
        <v>426</v>
      </c>
      <c r="E18" s="2">
        <v>445</v>
      </c>
      <c r="F18" s="2">
        <v>8</v>
      </c>
      <c r="G18" s="2">
        <v>12660</v>
      </c>
      <c r="H18" s="2">
        <v>18</v>
      </c>
      <c r="I18" s="26">
        <f t="shared" si="0"/>
        <v>117812</v>
      </c>
      <c r="J18" s="27">
        <f t="shared" si="1"/>
        <v>22.613883279715608</v>
      </c>
      <c r="K18" s="2" t="s">
        <v>4</v>
      </c>
      <c r="L18" s="2"/>
      <c r="P18" s="10"/>
    </row>
    <row r="19" spans="1:16" x14ac:dyDescent="0.2">
      <c r="A19" s="2" t="s">
        <v>19</v>
      </c>
      <c r="B19" s="2">
        <v>1324</v>
      </c>
      <c r="C19" s="2">
        <v>456</v>
      </c>
      <c r="D19" s="2">
        <v>4</v>
      </c>
      <c r="E19" s="2">
        <v>0</v>
      </c>
      <c r="F19" s="2">
        <v>0</v>
      </c>
      <c r="G19" s="2">
        <v>22</v>
      </c>
      <c r="H19" s="2">
        <v>0</v>
      </c>
      <c r="I19" s="26">
        <f t="shared" si="0"/>
        <v>1806</v>
      </c>
      <c r="J19" s="27">
        <f t="shared" si="1"/>
        <v>0.34665970532005558</v>
      </c>
      <c r="K19" s="2" t="s">
        <v>19</v>
      </c>
      <c r="L19" s="2"/>
      <c r="P19" s="10"/>
    </row>
    <row r="20" spans="1:16" x14ac:dyDescent="0.2">
      <c r="A20" s="2" t="s">
        <v>31</v>
      </c>
      <c r="B20" s="2">
        <v>33638</v>
      </c>
      <c r="C20" s="2">
        <v>10523</v>
      </c>
      <c r="D20" s="2">
        <v>0</v>
      </c>
      <c r="E20" s="2">
        <v>77</v>
      </c>
      <c r="F20" s="2">
        <v>0</v>
      </c>
      <c r="G20" s="2">
        <v>8096</v>
      </c>
      <c r="H20" s="2">
        <v>0</v>
      </c>
      <c r="I20" s="26">
        <f t="shared" si="0"/>
        <v>52334</v>
      </c>
      <c r="J20" s="27">
        <f t="shared" si="1"/>
        <v>10.045453498460571</v>
      </c>
      <c r="K20" s="2" t="s">
        <v>31</v>
      </c>
      <c r="L20" s="2"/>
      <c r="P20" s="10"/>
    </row>
    <row r="21" spans="1:16" x14ac:dyDescent="0.2">
      <c r="A21" s="2" t="s">
        <v>18</v>
      </c>
      <c r="B21" s="2">
        <v>85</v>
      </c>
      <c r="C21" s="2">
        <v>60</v>
      </c>
      <c r="D21" s="2">
        <v>0</v>
      </c>
      <c r="E21" s="2">
        <v>0</v>
      </c>
      <c r="F21" s="2">
        <v>0</v>
      </c>
      <c r="G21" s="2">
        <v>10</v>
      </c>
      <c r="H21" s="2">
        <v>0</v>
      </c>
      <c r="I21" s="26">
        <f t="shared" si="0"/>
        <v>155</v>
      </c>
      <c r="J21" s="27">
        <f t="shared" si="1"/>
        <v>2.9752078806538549E-2</v>
      </c>
      <c r="K21" s="2" t="s">
        <v>18</v>
      </c>
      <c r="L21" s="2"/>
      <c r="P21" s="10"/>
    </row>
    <row r="22" spans="1:16" x14ac:dyDescent="0.2">
      <c r="A22" s="2" t="s">
        <v>23</v>
      </c>
      <c r="B22" s="2">
        <v>101788</v>
      </c>
      <c r="C22" s="2">
        <v>26540</v>
      </c>
      <c r="D22" s="2">
        <v>1</v>
      </c>
      <c r="E22" s="2">
        <v>782</v>
      </c>
      <c r="F22" s="2">
        <v>0</v>
      </c>
      <c r="G22" s="2">
        <v>13359</v>
      </c>
      <c r="H22" s="2">
        <v>0</v>
      </c>
      <c r="I22" s="26">
        <f t="shared" si="0"/>
        <v>142470</v>
      </c>
      <c r="J22" s="27">
        <f t="shared" si="1"/>
        <v>27.346959145597076</v>
      </c>
      <c r="K22" s="2" t="s">
        <v>23</v>
      </c>
      <c r="L22" s="2"/>
      <c r="P22" s="10"/>
    </row>
    <row r="23" spans="1:16" x14ac:dyDescent="0.2">
      <c r="A23" s="2" t="s">
        <v>39</v>
      </c>
      <c r="B23" s="2">
        <v>1456</v>
      </c>
      <c r="C23" s="2">
        <v>305</v>
      </c>
      <c r="D23" s="2">
        <v>1</v>
      </c>
      <c r="E23" s="2">
        <v>3</v>
      </c>
      <c r="F23" s="2">
        <v>2</v>
      </c>
      <c r="G23" s="2">
        <v>6</v>
      </c>
      <c r="H23" s="2">
        <v>0</v>
      </c>
      <c r="I23" s="26">
        <f t="shared" si="0"/>
        <v>1773</v>
      </c>
      <c r="J23" s="27">
        <f t="shared" si="1"/>
        <v>0.34032539176769577</v>
      </c>
      <c r="K23" s="2" t="s">
        <v>39</v>
      </c>
      <c r="L23" s="38" t="s">
        <v>26</v>
      </c>
      <c r="M23" s="38" t="s">
        <v>27</v>
      </c>
      <c r="P23" s="10"/>
    </row>
    <row r="24" spans="1:16" x14ac:dyDescent="0.2">
      <c r="A24" s="2" t="s">
        <v>17</v>
      </c>
      <c r="B24" s="30"/>
      <c r="C24" s="30"/>
      <c r="D24" s="30"/>
      <c r="E24" s="30"/>
      <c r="F24" s="30"/>
      <c r="G24" s="30"/>
      <c r="H24" s="30"/>
      <c r="I24" s="28"/>
      <c r="J24" s="29"/>
      <c r="K24" s="2" t="s">
        <v>17</v>
      </c>
      <c r="L24" s="38"/>
      <c r="M24" s="38"/>
      <c r="P24" s="10"/>
    </row>
    <row r="25" spans="1:16" x14ac:dyDescent="0.2">
      <c r="A25" s="26"/>
      <c r="B25" s="26">
        <f t="shared" ref="B25:H25" si="2">SUM(B2:B21)</f>
        <v>268782</v>
      </c>
      <c r="C25" s="26">
        <f t="shared" si="2"/>
        <v>76686</v>
      </c>
      <c r="D25" s="26">
        <f t="shared" si="2"/>
        <v>2182</v>
      </c>
      <c r="E25" s="26">
        <f t="shared" si="2"/>
        <v>790</v>
      </c>
      <c r="F25" s="26">
        <f t="shared" si="2"/>
        <v>121</v>
      </c>
      <c r="G25" s="26">
        <f t="shared" si="2"/>
        <v>28142</v>
      </c>
      <c r="H25" s="26">
        <f t="shared" si="2"/>
        <v>26</v>
      </c>
      <c r="I25" s="36">
        <f>SUM(I2:I23)</f>
        <v>520972</v>
      </c>
      <c r="J25" s="37" t="s">
        <v>41</v>
      </c>
      <c r="K25" s="2"/>
      <c r="L25" s="38">
        <f>((B25+C25+G25)/I26)*100</f>
        <v>99.172083911777435</v>
      </c>
      <c r="M25" s="38">
        <f>((D25+E25+F25+H25)/I26)*100</f>
        <v>0.82791608822256857</v>
      </c>
      <c r="P25" s="10"/>
    </row>
    <row r="26" spans="1:16" x14ac:dyDescent="0.2">
      <c r="A26" s="2"/>
      <c r="B26" s="2"/>
      <c r="C26" s="2"/>
      <c r="D26" s="2"/>
      <c r="E26" s="2"/>
      <c r="F26" s="2"/>
      <c r="G26" s="2"/>
      <c r="H26" s="34" t="s">
        <v>41</v>
      </c>
      <c r="I26" s="35">
        <f>SUM(B25:H25)</f>
        <v>376729</v>
      </c>
      <c r="J26" s="27"/>
      <c r="K26" s="2"/>
      <c r="L26" s="2"/>
    </row>
    <row r="27" spans="1:16" ht="19" thickBot="1" x14ac:dyDescent="0.25">
      <c r="A27" s="2"/>
      <c r="B27" s="2"/>
      <c r="C27" s="2"/>
      <c r="D27" s="2"/>
      <c r="E27" s="2"/>
      <c r="F27" s="2"/>
      <c r="G27" s="2"/>
      <c r="H27" s="2"/>
      <c r="I27" s="2"/>
      <c r="J27" s="27"/>
      <c r="K27" s="2"/>
      <c r="L27" s="2"/>
    </row>
    <row r="28" spans="1:16" ht="16" customHeight="1" x14ac:dyDescent="0.2">
      <c r="A28" s="42" t="s">
        <v>6</v>
      </c>
      <c r="B28" s="43"/>
      <c r="C28" s="43"/>
      <c r="D28" s="43"/>
      <c r="E28" s="43"/>
      <c r="F28" s="43"/>
      <c r="G28" s="43"/>
      <c r="H28" s="43"/>
      <c r="I28" s="43"/>
      <c r="J28" s="44"/>
      <c r="K28" s="2"/>
      <c r="L28" s="2"/>
    </row>
    <row r="29" spans="1:16" ht="17" customHeight="1" thickBot="1" x14ac:dyDescent="0.25">
      <c r="A29" s="45"/>
      <c r="B29" s="46"/>
      <c r="C29" s="46"/>
      <c r="D29" s="46"/>
      <c r="E29" s="46"/>
      <c r="F29" s="46"/>
      <c r="G29" s="46"/>
      <c r="H29" s="46"/>
      <c r="I29" s="46"/>
      <c r="J29" s="47"/>
      <c r="K29" s="2"/>
      <c r="L29" s="2"/>
    </row>
    <row r="30" spans="1:16" x14ac:dyDescent="0.2">
      <c r="A30" s="2"/>
      <c r="B30" s="2"/>
      <c r="C30" s="2" t="s">
        <v>7</v>
      </c>
      <c r="D30" s="2"/>
      <c r="E30" s="2"/>
      <c r="F30" s="2"/>
      <c r="G30" s="2"/>
      <c r="H30" s="2"/>
      <c r="I30" s="2"/>
      <c r="J30" s="27"/>
      <c r="K30" s="2"/>
      <c r="L30" s="2"/>
    </row>
    <row r="31" spans="1:16" x14ac:dyDescent="0.2">
      <c r="A31" s="31" t="s">
        <v>38</v>
      </c>
      <c r="B31" s="27">
        <f>(B2/$B$2)*100</f>
        <v>100</v>
      </c>
      <c r="C31" s="27">
        <f>(C2/$B$2)*100</f>
        <v>19.861466646589367</v>
      </c>
      <c r="D31" s="27">
        <f>(D2/$B$2)*100</f>
        <v>0.45926818250263512</v>
      </c>
      <c r="E31" s="27">
        <f t="shared" ref="E31:H31" si="3">(E2/$B$2)*100</f>
        <v>9.0347839180846268E-2</v>
      </c>
      <c r="F31" s="27">
        <f>(F2/$B$2)*100</f>
        <v>1.505797319680771E-2</v>
      </c>
      <c r="G31" s="27">
        <f t="shared" si="3"/>
        <v>4.0844752296340916</v>
      </c>
      <c r="H31" s="27">
        <f t="shared" si="3"/>
        <v>0</v>
      </c>
      <c r="I31" s="2"/>
      <c r="J31" s="2" t="s">
        <v>38</v>
      </c>
      <c r="K31" s="2"/>
      <c r="L31" s="2"/>
    </row>
    <row r="32" spans="1:16" x14ac:dyDescent="0.2">
      <c r="A32" s="2" t="s">
        <v>28</v>
      </c>
      <c r="B32" s="27">
        <f t="shared" ref="B32:H32" si="4">(B3/$B$3)*100</f>
        <v>100</v>
      </c>
      <c r="C32" s="27">
        <f t="shared" si="4"/>
        <v>35.384615384615387</v>
      </c>
      <c r="D32" s="27">
        <f t="shared" si="4"/>
        <v>0</v>
      </c>
      <c r="E32" s="27">
        <f t="shared" si="4"/>
        <v>0</v>
      </c>
      <c r="F32" s="27">
        <f t="shared" si="4"/>
        <v>0</v>
      </c>
      <c r="G32" s="27">
        <f t="shared" si="4"/>
        <v>21.53846153846154</v>
      </c>
      <c r="H32" s="27">
        <f t="shared" si="4"/>
        <v>0</v>
      </c>
      <c r="I32" s="2"/>
      <c r="J32" s="2" t="s">
        <v>28</v>
      </c>
      <c r="K32" s="2"/>
      <c r="L32" s="2"/>
    </row>
    <row r="33" spans="1:12" x14ac:dyDescent="0.2">
      <c r="A33" s="2" t="s">
        <v>29</v>
      </c>
      <c r="B33" s="27">
        <f t="shared" ref="B33:H33" si="5">(B4/$B$4)*100</f>
        <v>100</v>
      </c>
      <c r="C33" s="27">
        <f t="shared" si="5"/>
        <v>12.018430820427492</v>
      </c>
      <c r="D33" s="27">
        <f t="shared" si="5"/>
        <v>0.230385255343658</v>
      </c>
      <c r="E33" s="27">
        <f t="shared" si="5"/>
        <v>6.3995904262127229E-2</v>
      </c>
      <c r="F33" s="27">
        <f t="shared" si="5"/>
        <v>0</v>
      </c>
      <c r="G33" s="27">
        <f t="shared" si="5"/>
        <v>7.2955330858825036</v>
      </c>
      <c r="H33" s="27">
        <f t="shared" si="5"/>
        <v>0</v>
      </c>
      <c r="I33" s="2"/>
      <c r="J33" s="2" t="s">
        <v>29</v>
      </c>
      <c r="K33" s="2"/>
      <c r="L33" s="2"/>
    </row>
    <row r="34" spans="1:12" x14ac:dyDescent="0.2">
      <c r="A34" s="2" t="s">
        <v>30</v>
      </c>
      <c r="B34" s="27">
        <f t="shared" ref="B34:H34" si="6">(B5/$B$5)*100</f>
        <v>100</v>
      </c>
      <c r="C34" s="27">
        <f t="shared" si="6"/>
        <v>21.374045801526716</v>
      </c>
      <c r="D34" s="27">
        <f t="shared" si="6"/>
        <v>0</v>
      </c>
      <c r="E34" s="27">
        <f t="shared" si="6"/>
        <v>0</v>
      </c>
      <c r="F34" s="27">
        <f t="shared" si="6"/>
        <v>0</v>
      </c>
      <c r="G34" s="27">
        <f t="shared" si="6"/>
        <v>2.3247744621790423</v>
      </c>
      <c r="H34" s="27">
        <f t="shared" si="6"/>
        <v>0</v>
      </c>
      <c r="I34" s="2"/>
      <c r="J34" s="2" t="s">
        <v>30</v>
      </c>
      <c r="K34" s="2"/>
      <c r="L34" s="2"/>
    </row>
    <row r="35" spans="1:12" x14ac:dyDescent="0.2">
      <c r="A35" s="2" t="s">
        <v>32</v>
      </c>
      <c r="B35" s="27">
        <f t="shared" ref="B35:H35" si="7">(B6/$B$6)*100</f>
        <v>100</v>
      </c>
      <c r="C35" s="27">
        <f t="shared" si="7"/>
        <v>40.643863179074444</v>
      </c>
      <c r="D35" s="27">
        <f t="shared" si="7"/>
        <v>6.8410462776659964</v>
      </c>
      <c r="E35" s="27">
        <f t="shared" si="7"/>
        <v>2.0120724346076457</v>
      </c>
      <c r="F35" s="27">
        <f t="shared" si="7"/>
        <v>1.4084507042253522</v>
      </c>
      <c r="G35" s="27">
        <f t="shared" si="7"/>
        <v>13.480885311871226</v>
      </c>
      <c r="H35" s="27">
        <f t="shared" si="7"/>
        <v>0</v>
      </c>
      <c r="I35" s="2"/>
      <c r="J35" s="2" t="s">
        <v>32</v>
      </c>
      <c r="K35" s="2"/>
      <c r="L35" s="2"/>
    </row>
    <row r="36" spans="1:12" x14ac:dyDescent="0.2">
      <c r="A36" s="2" t="s">
        <v>33</v>
      </c>
      <c r="B36" s="27">
        <f>(B7/$B$7)*100</f>
        <v>100</v>
      </c>
      <c r="C36" s="27">
        <f>(C7/$B$7)*100</f>
        <v>37.5</v>
      </c>
      <c r="D36" s="27">
        <f t="shared" ref="D36:H36" si="8">(D7/$B$7)*100</f>
        <v>0</v>
      </c>
      <c r="E36" s="27">
        <f t="shared" si="8"/>
        <v>0</v>
      </c>
      <c r="F36" s="27">
        <f t="shared" si="8"/>
        <v>0</v>
      </c>
      <c r="G36" s="27">
        <f>(G7/$B$7)*100</f>
        <v>9.8214285714285712</v>
      </c>
      <c r="H36" s="27">
        <f t="shared" si="8"/>
        <v>0</v>
      </c>
      <c r="I36" s="2"/>
      <c r="J36" s="2" t="s">
        <v>33</v>
      </c>
      <c r="K36" s="2"/>
      <c r="L36" s="2"/>
    </row>
    <row r="37" spans="1:12" x14ac:dyDescent="0.2">
      <c r="A37" s="2" t="s">
        <v>34</v>
      </c>
      <c r="B37" s="27">
        <f>(B8/$B$8)*100</f>
        <v>100</v>
      </c>
      <c r="C37" s="27">
        <f>(C8/$B$8)*100</f>
        <v>38.414634146341463</v>
      </c>
      <c r="D37" s="27">
        <f t="shared" ref="D37:H37" si="9">(D8/$B$8)*100</f>
        <v>0</v>
      </c>
      <c r="E37" s="27">
        <f t="shared" si="9"/>
        <v>0</v>
      </c>
      <c r="F37" s="27">
        <f t="shared" si="9"/>
        <v>0</v>
      </c>
      <c r="G37" s="27">
        <f t="shared" si="9"/>
        <v>2.7439024390243905</v>
      </c>
      <c r="H37" s="27">
        <f t="shared" si="9"/>
        <v>0</v>
      </c>
      <c r="I37" s="2"/>
      <c r="J37" s="2" t="s">
        <v>34</v>
      </c>
      <c r="K37" s="2"/>
      <c r="L37" s="2"/>
    </row>
    <row r="38" spans="1:12" x14ac:dyDescent="0.2">
      <c r="A38" s="2" t="s">
        <v>20</v>
      </c>
      <c r="B38" s="27">
        <f t="shared" ref="B38:H38" si="10">(B9/$B$9)*100</f>
        <v>100</v>
      </c>
      <c r="C38" s="27">
        <f t="shared" si="10"/>
        <v>38.35920177383592</v>
      </c>
      <c r="D38" s="27">
        <f t="shared" si="10"/>
        <v>0</v>
      </c>
      <c r="E38" s="27">
        <f t="shared" si="10"/>
        <v>8.2039911308204001</v>
      </c>
      <c r="F38" s="27">
        <f t="shared" si="10"/>
        <v>0</v>
      </c>
      <c r="G38" s="27">
        <f t="shared" si="10"/>
        <v>12.416851441241686</v>
      </c>
      <c r="H38" s="27">
        <f t="shared" si="10"/>
        <v>0</v>
      </c>
      <c r="I38" s="2"/>
      <c r="J38" s="2" t="s">
        <v>20</v>
      </c>
      <c r="K38" s="2"/>
      <c r="L38" s="2"/>
    </row>
    <row r="39" spans="1:12" x14ac:dyDescent="0.2">
      <c r="A39" s="31" t="s">
        <v>21</v>
      </c>
      <c r="B39" s="27">
        <f>(B10/$B$10)*100</f>
        <v>100</v>
      </c>
      <c r="C39" s="27">
        <f>(C10/$B$10)*100</f>
        <v>25.900437930109931</v>
      </c>
      <c r="D39" s="27">
        <f t="shared" ref="D39:H39" si="11">(D10/$B$10)*100</f>
        <v>0</v>
      </c>
      <c r="E39" s="27">
        <f>(E10/$B$10)*100</f>
        <v>0</v>
      </c>
      <c r="F39" s="27">
        <f t="shared" si="11"/>
        <v>0</v>
      </c>
      <c r="G39" s="27">
        <f t="shared" si="11"/>
        <v>7.9855214943247832</v>
      </c>
      <c r="H39" s="27">
        <f t="shared" si="11"/>
        <v>0</v>
      </c>
      <c r="I39" s="2"/>
      <c r="J39" s="2" t="s">
        <v>21</v>
      </c>
      <c r="K39" s="2"/>
      <c r="L39" s="2"/>
    </row>
    <row r="40" spans="1:12" x14ac:dyDescent="0.2">
      <c r="A40" s="31" t="s">
        <v>16</v>
      </c>
      <c r="B40" s="27">
        <f>(B11/$B$11)*100</f>
        <v>100</v>
      </c>
      <c r="C40" s="27">
        <f>(C11/$B$11)*100</f>
        <v>50.096660808435857</v>
      </c>
      <c r="D40" s="27">
        <f t="shared" ref="D40:H40" si="12">(D11/$B$11)*100</f>
        <v>8.4358523725834793</v>
      </c>
      <c r="E40" s="27">
        <f>(E11/$B$11)*100</f>
        <v>1.1775043936731107</v>
      </c>
      <c r="F40" s="27">
        <f t="shared" si="12"/>
        <v>0.6502636203866432</v>
      </c>
      <c r="G40" s="27">
        <f>(G11/$B$11)*100</f>
        <v>6.1335676625659055</v>
      </c>
      <c r="H40" s="27">
        <f t="shared" si="12"/>
        <v>0</v>
      </c>
      <c r="I40" s="2"/>
      <c r="J40" s="2" t="s">
        <v>16</v>
      </c>
      <c r="K40" s="2"/>
      <c r="L40" s="2"/>
    </row>
    <row r="41" spans="1:12" x14ac:dyDescent="0.2">
      <c r="A41" s="2" t="s">
        <v>35</v>
      </c>
      <c r="B41" s="27">
        <f>(B12/$B$12)*100</f>
        <v>100</v>
      </c>
      <c r="C41" s="27">
        <f>(C12/$B$12)*100</f>
        <v>12.5</v>
      </c>
      <c r="D41" s="27">
        <f t="shared" ref="D41:H41" si="13">(D12/$B$12)*100</f>
        <v>25</v>
      </c>
      <c r="E41" s="27">
        <f t="shared" si="13"/>
        <v>0</v>
      </c>
      <c r="F41" s="27">
        <f t="shared" si="13"/>
        <v>0</v>
      </c>
      <c r="G41" s="27">
        <f t="shared" si="13"/>
        <v>0</v>
      </c>
      <c r="H41" s="27">
        <f t="shared" si="13"/>
        <v>0</v>
      </c>
      <c r="I41" s="2"/>
      <c r="J41" s="2" t="s">
        <v>35</v>
      </c>
      <c r="K41" s="2"/>
      <c r="L41" s="2"/>
    </row>
    <row r="42" spans="1:12" x14ac:dyDescent="0.2">
      <c r="A42" s="2" t="s">
        <v>36</v>
      </c>
      <c r="B42" s="27">
        <f>(B13/$B$13)*100</f>
        <v>100</v>
      </c>
      <c r="C42" s="27">
        <f>(C13/$B$13)*100</f>
        <v>73.68421052631578</v>
      </c>
      <c r="D42" s="27">
        <f t="shared" ref="D42:H42" si="14">(D13/$B$13)*100</f>
        <v>0</v>
      </c>
      <c r="E42" s="27">
        <f t="shared" si="14"/>
        <v>0</v>
      </c>
      <c r="F42" s="27">
        <f t="shared" si="14"/>
        <v>0</v>
      </c>
      <c r="G42" s="27">
        <f t="shared" si="14"/>
        <v>0</v>
      </c>
      <c r="H42" s="27">
        <f t="shared" si="14"/>
        <v>0</v>
      </c>
      <c r="I42" s="2"/>
      <c r="J42" s="2" t="s">
        <v>36</v>
      </c>
      <c r="K42" s="2"/>
      <c r="L42" s="2"/>
    </row>
    <row r="43" spans="1:12" x14ac:dyDescent="0.2">
      <c r="A43" s="31" t="s">
        <v>15</v>
      </c>
      <c r="B43" s="27">
        <f>(B14/$B$14)*100</f>
        <v>100</v>
      </c>
      <c r="C43" s="27">
        <f>(C14/$B$14)*100</f>
        <v>10.275445778116978</v>
      </c>
      <c r="D43" s="27">
        <f t="shared" ref="D43:H43" si="15">(D14/$B$14)*100</f>
        <v>0.56777446286916899</v>
      </c>
      <c r="E43" s="27">
        <f t="shared" si="15"/>
        <v>5.666180994010038E-2</v>
      </c>
      <c r="F43" s="27">
        <f t="shared" si="15"/>
        <v>2.775272323596753E-2</v>
      </c>
      <c r="G43" s="27">
        <f>(G14/$B$14)*100</f>
        <v>2.5555632646453432</v>
      </c>
      <c r="H43" s="27">
        <f t="shared" si="15"/>
        <v>9.2509077453225095E-3</v>
      </c>
      <c r="I43" s="2"/>
      <c r="J43" s="2" t="s">
        <v>15</v>
      </c>
      <c r="K43" s="2"/>
      <c r="L43" s="2"/>
    </row>
    <row r="44" spans="1:12" x14ac:dyDescent="0.2">
      <c r="A44" s="2" t="s">
        <v>37</v>
      </c>
      <c r="B44" s="27">
        <f>(B15/$B$15)*100</f>
        <v>100</v>
      </c>
      <c r="C44" s="27">
        <f>(C15/$B$15)*100</f>
        <v>6.5206812652068127</v>
      </c>
      <c r="D44" s="27">
        <f>(D15/$B$15)*100</f>
        <v>2.9683698296836982</v>
      </c>
      <c r="E44" s="27">
        <f t="shared" ref="E44:H44" si="16">(E15/$B$15)*100</f>
        <v>9.7323600973236016E-2</v>
      </c>
      <c r="F44" s="27">
        <f t="shared" si="16"/>
        <v>9.7323600973236016E-2</v>
      </c>
      <c r="G44" s="27">
        <f t="shared" si="16"/>
        <v>0.63260340632603407</v>
      </c>
      <c r="H44" s="27">
        <f t="shared" si="16"/>
        <v>0</v>
      </c>
      <c r="I44" s="2"/>
      <c r="J44" s="2" t="s">
        <v>37</v>
      </c>
      <c r="K44" s="2"/>
      <c r="L44" s="2"/>
    </row>
    <row r="45" spans="1:12" x14ac:dyDescent="0.2">
      <c r="A45" s="31" t="s">
        <v>24</v>
      </c>
      <c r="B45" s="27">
        <f t="shared" ref="B45:H45" si="17">(B16/$C$16)*100</f>
        <v>23.787680209698557</v>
      </c>
      <c r="C45" s="27">
        <f t="shared" si="17"/>
        <v>100</v>
      </c>
      <c r="D45" s="27">
        <f t="shared" si="17"/>
        <v>2.0642201834862388</v>
      </c>
      <c r="E45" s="27">
        <f t="shared" si="17"/>
        <v>0.163826998689384</v>
      </c>
      <c r="F45" s="27">
        <f t="shared" si="17"/>
        <v>0</v>
      </c>
      <c r="G45" s="27">
        <f t="shared" si="17"/>
        <v>20.67496723460026</v>
      </c>
      <c r="H45" s="27">
        <f t="shared" si="17"/>
        <v>0</v>
      </c>
      <c r="I45" s="2"/>
      <c r="J45" s="2" t="s">
        <v>24</v>
      </c>
      <c r="K45" s="2"/>
      <c r="L45" s="2"/>
    </row>
    <row r="46" spans="1:12" x14ac:dyDescent="0.2">
      <c r="A46" s="31" t="s">
        <v>25</v>
      </c>
      <c r="B46" s="27">
        <f t="shared" ref="B46:H46" si="18">(B17/$B$17)*100</f>
        <v>100</v>
      </c>
      <c r="C46" s="27">
        <f t="shared" si="18"/>
        <v>28.125</v>
      </c>
      <c r="D46" s="27">
        <f>(D17/$B$17)*100</f>
        <v>5.7870370370370364E-2</v>
      </c>
      <c r="E46" s="27">
        <f t="shared" si="18"/>
        <v>0.11574074074074073</v>
      </c>
      <c r="F46" s="27">
        <f>(F17/$B$17)*100</f>
        <v>0.11574074074074073</v>
      </c>
      <c r="G46" s="27">
        <f t="shared" si="18"/>
        <v>6.25</v>
      </c>
      <c r="H46" s="27">
        <f t="shared" si="18"/>
        <v>0</v>
      </c>
      <c r="I46" s="2"/>
      <c r="J46" s="2" t="s">
        <v>25</v>
      </c>
      <c r="K46" s="2"/>
      <c r="L46" s="2"/>
    </row>
    <row r="47" spans="1:12" x14ac:dyDescent="0.2">
      <c r="A47" s="31" t="s">
        <v>4</v>
      </c>
      <c r="B47" s="27">
        <f>(B18/$B$18)*100</f>
        <v>100</v>
      </c>
      <c r="C47" s="27">
        <f>(C18/$B$18)*100</f>
        <v>48.678712511230586</v>
      </c>
      <c r="D47" s="27">
        <f t="shared" ref="D47:G47" si="19">(D18/$B$18)*100</f>
        <v>0.60752128463655675</v>
      </c>
      <c r="E47" s="27">
        <f t="shared" si="19"/>
        <v>0.63461730437386799</v>
      </c>
      <c r="F47" s="27">
        <f t="shared" si="19"/>
        <v>1.1408850415709987E-2</v>
      </c>
      <c r="G47" s="27">
        <f t="shared" si="19"/>
        <v>18.054505782861057</v>
      </c>
      <c r="H47" s="27">
        <f>(H18/$B$18)*100</f>
        <v>2.5669913435347472E-2</v>
      </c>
      <c r="I47" s="2"/>
      <c r="J47" s="2" t="s">
        <v>4</v>
      </c>
      <c r="K47" s="2"/>
      <c r="L47" s="2"/>
    </row>
    <row r="48" spans="1:12" x14ac:dyDescent="0.2">
      <c r="A48" s="2" t="s">
        <v>19</v>
      </c>
      <c r="B48" s="27">
        <f>(B19/$B$19)*100</f>
        <v>100</v>
      </c>
      <c r="C48" s="27">
        <f>(C19/$B$19)*100</f>
        <v>34.44108761329305</v>
      </c>
      <c r="D48" s="27">
        <f t="shared" ref="D48:H48" si="20">(D19/$B$19)*100</f>
        <v>0.30211480362537763</v>
      </c>
      <c r="E48" s="27">
        <f t="shared" si="20"/>
        <v>0</v>
      </c>
      <c r="F48" s="27">
        <f t="shared" si="20"/>
        <v>0</v>
      </c>
      <c r="G48" s="27">
        <f t="shared" si="20"/>
        <v>1.6616314199395772</v>
      </c>
      <c r="H48" s="27">
        <f t="shared" si="20"/>
        <v>0</v>
      </c>
      <c r="I48" s="2"/>
      <c r="J48" s="2" t="s">
        <v>19</v>
      </c>
      <c r="K48" s="2"/>
      <c r="L48" s="2"/>
    </row>
    <row r="49" spans="1:12" x14ac:dyDescent="0.2">
      <c r="A49" s="2" t="s">
        <v>31</v>
      </c>
      <c r="B49" s="27">
        <f>(B20/$B$20)*100</f>
        <v>100</v>
      </c>
      <c r="C49" s="27">
        <f>(C20/$B$20)*100</f>
        <v>31.283072715381415</v>
      </c>
      <c r="D49" s="27">
        <f t="shared" ref="D49:H49" si="21">(D20/$B$20)*100</f>
        <v>0</v>
      </c>
      <c r="E49" s="27">
        <f t="shared" si="21"/>
        <v>0.22890778286461738</v>
      </c>
      <c r="F49" s="27">
        <f t="shared" si="21"/>
        <v>0</v>
      </c>
      <c r="G49" s="27">
        <f t="shared" si="21"/>
        <v>24.06801831262263</v>
      </c>
      <c r="H49" s="27">
        <f t="shared" si="21"/>
        <v>0</v>
      </c>
      <c r="I49" s="2"/>
      <c r="J49" s="2" t="s">
        <v>31</v>
      </c>
      <c r="K49" s="2"/>
      <c r="L49" s="2"/>
    </row>
    <row r="50" spans="1:12" x14ac:dyDescent="0.2">
      <c r="A50" s="2" t="s">
        <v>18</v>
      </c>
      <c r="B50" s="27">
        <f>(B21/$B$21)*100</f>
        <v>100</v>
      </c>
      <c r="C50" s="27">
        <f>(C21/$B$21)*100</f>
        <v>70.588235294117652</v>
      </c>
      <c r="D50" s="27">
        <f t="shared" ref="D50:F50" si="22">(D21/$B$21)*100</f>
        <v>0</v>
      </c>
      <c r="E50" s="27">
        <f t="shared" si="22"/>
        <v>0</v>
      </c>
      <c r="F50" s="27">
        <f t="shared" si="22"/>
        <v>0</v>
      </c>
      <c r="G50" s="27">
        <f>(G21/$B$21)*100</f>
        <v>11.76470588235294</v>
      </c>
      <c r="H50" s="27">
        <f>(H21/$B$21)*100</f>
        <v>0</v>
      </c>
      <c r="I50" s="2"/>
      <c r="J50" s="2" t="s">
        <v>18</v>
      </c>
      <c r="K50" s="2"/>
      <c r="L50" s="2"/>
    </row>
    <row r="51" spans="1:12" x14ac:dyDescent="0.2">
      <c r="A51" s="31" t="s">
        <v>23</v>
      </c>
      <c r="B51" s="27">
        <f>(B22/$B$22)*100</f>
        <v>100</v>
      </c>
      <c r="C51" s="27">
        <f>(C22/$B$22)*100</f>
        <v>26.073800447989942</v>
      </c>
      <c r="D51" s="27">
        <f>(D22/$B$22)*100</f>
        <v>9.8243407867332102E-4</v>
      </c>
      <c r="E51" s="27">
        <f t="shared" ref="E51:H51" si="23">(E22/$B$22)*100</f>
        <v>0.768263449522537</v>
      </c>
      <c r="F51" s="27">
        <f t="shared" si="23"/>
        <v>0</v>
      </c>
      <c r="G51" s="27">
        <f t="shared" si="23"/>
        <v>13.124336856996896</v>
      </c>
      <c r="H51" s="27">
        <f t="shared" si="23"/>
        <v>0</v>
      </c>
      <c r="I51" s="2"/>
      <c r="J51" s="2" t="s">
        <v>23</v>
      </c>
      <c r="K51" s="2"/>
      <c r="L51" s="2"/>
    </row>
    <row r="52" spans="1:12" x14ac:dyDescent="0.2">
      <c r="A52" s="2" t="s">
        <v>39</v>
      </c>
      <c r="B52" s="27">
        <f>(B23/$B$23)*100</f>
        <v>100</v>
      </c>
      <c r="C52" s="27">
        <f t="shared" ref="C52:H52" si="24">(C23/$B$23)*100</f>
        <v>20.947802197802197</v>
      </c>
      <c r="D52" s="27">
        <f t="shared" si="24"/>
        <v>6.8681318681318687E-2</v>
      </c>
      <c r="E52" s="27">
        <f t="shared" si="24"/>
        <v>0.20604395604395606</v>
      </c>
      <c r="F52" s="27">
        <f t="shared" si="24"/>
        <v>0.13736263736263737</v>
      </c>
      <c r="G52" s="27">
        <f t="shared" si="24"/>
        <v>0.41208791208791212</v>
      </c>
      <c r="H52" s="27">
        <f t="shared" si="24"/>
        <v>0</v>
      </c>
      <c r="I52" s="2"/>
      <c r="J52" s="2" t="s">
        <v>39</v>
      </c>
      <c r="K52" s="2"/>
      <c r="L52" s="2"/>
    </row>
    <row r="53" spans="1:12" x14ac:dyDescent="0.2">
      <c r="A53" s="2" t="s">
        <v>17</v>
      </c>
      <c r="B53" s="32"/>
      <c r="C53" s="32"/>
      <c r="D53" s="32"/>
      <c r="E53" s="32"/>
      <c r="F53" s="32"/>
      <c r="G53" s="32"/>
      <c r="H53" s="32"/>
      <c r="I53" s="2"/>
      <c r="J53" s="2" t="s">
        <v>17</v>
      </c>
      <c r="K53" s="2"/>
      <c r="L53" s="2"/>
    </row>
    <row r="54" spans="1:12" x14ac:dyDescent="0.2">
      <c r="A54" s="2"/>
      <c r="B54" s="2"/>
      <c r="C54" s="2"/>
      <c r="D54" s="2"/>
      <c r="E54" s="2"/>
      <c r="F54" s="2"/>
      <c r="G54" s="2"/>
      <c r="H54" s="2"/>
      <c r="I54" s="2"/>
      <c r="J54" s="27"/>
      <c r="K54" s="2"/>
      <c r="L54" s="2"/>
    </row>
    <row r="55" spans="1:12" x14ac:dyDescent="0.2">
      <c r="A55" s="2"/>
      <c r="B55" s="2"/>
      <c r="C55" s="2"/>
      <c r="D55" s="2"/>
      <c r="E55" s="2"/>
      <c r="F55" s="2"/>
      <c r="G55" s="2"/>
      <c r="H55" s="2"/>
      <c r="I55" s="2"/>
      <c r="J55" s="27"/>
      <c r="K55" s="2"/>
      <c r="L55" s="2"/>
    </row>
    <row r="56" spans="1:12" x14ac:dyDescent="0.2">
      <c r="A56" s="2"/>
      <c r="B56" s="3"/>
      <c r="C56" s="2"/>
      <c r="D56" s="2"/>
      <c r="E56" s="2"/>
      <c r="F56" s="2"/>
      <c r="G56" s="2"/>
      <c r="H56" s="2"/>
      <c r="I56" s="2"/>
      <c r="J56" s="27"/>
      <c r="K56" s="2"/>
      <c r="L56" s="2"/>
    </row>
    <row r="57" spans="1:12" x14ac:dyDescent="0.2">
      <c r="A57" s="2"/>
      <c r="B57" s="2"/>
      <c r="C57" s="2"/>
      <c r="D57" s="2"/>
      <c r="E57" s="2"/>
      <c r="F57" s="2"/>
      <c r="G57" s="2"/>
      <c r="H57" s="2"/>
      <c r="I57" s="2"/>
      <c r="J57" s="27"/>
      <c r="K57" s="2"/>
      <c r="L57" s="2"/>
    </row>
    <row r="58" spans="1:12" x14ac:dyDescent="0.2">
      <c r="A58" s="2"/>
      <c r="B58" s="2"/>
      <c r="C58" s="2"/>
      <c r="D58" s="2"/>
      <c r="E58" s="2"/>
      <c r="F58" s="2"/>
      <c r="G58" s="2"/>
      <c r="H58" s="2"/>
      <c r="I58" s="2"/>
      <c r="J58" s="27"/>
      <c r="K58" s="2"/>
      <c r="L58" s="2"/>
    </row>
    <row r="59" spans="1:12" x14ac:dyDescent="0.2">
      <c r="A59" s="2"/>
      <c r="B59" s="2"/>
      <c r="C59" s="2"/>
      <c r="D59" s="2"/>
      <c r="E59" s="2"/>
      <c r="F59" s="2"/>
      <c r="G59" s="2"/>
      <c r="H59" s="2"/>
      <c r="I59" s="2"/>
    </row>
    <row r="63" spans="1:12" x14ac:dyDescent="0.2">
      <c r="B63" s="4"/>
    </row>
    <row r="64" spans="1:12" x14ac:dyDescent="0.2">
      <c r="B64" s="5"/>
      <c r="D64" s="6"/>
    </row>
    <row r="72" spans="1:4" x14ac:dyDescent="0.2">
      <c r="A72" s="6"/>
      <c r="B72" s="7"/>
      <c r="D72" s="6"/>
    </row>
    <row r="75" spans="1:4" x14ac:dyDescent="0.2">
      <c r="A75" s="6"/>
      <c r="B75" s="8"/>
    </row>
  </sheetData>
  <mergeCells count="1">
    <mergeCell ref="A28:J29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A65D8-E930-0642-AD4E-710AAEC30D94}">
  <dimension ref="A2:B42"/>
  <sheetViews>
    <sheetView topLeftCell="A18" zoomScale="210" zoomScaleNormal="210" workbookViewId="0">
      <selection activeCell="B40" sqref="B40"/>
    </sheetView>
  </sheetViews>
  <sheetFormatPr baseColWidth="10" defaultRowHeight="16" x14ac:dyDescent="0.2"/>
  <cols>
    <col min="1" max="1" width="22.83203125" customWidth="1"/>
    <col min="2" max="2" width="32.5" customWidth="1"/>
  </cols>
  <sheetData>
    <row r="2" spans="1:2" x14ac:dyDescent="0.2">
      <c r="A2" s="39" t="s">
        <v>46</v>
      </c>
      <c r="B2" s="40" t="s">
        <v>47</v>
      </c>
    </row>
    <row r="3" spans="1:2" x14ac:dyDescent="0.2">
      <c r="A3" t="s">
        <v>38</v>
      </c>
      <c r="B3">
        <v>488.42</v>
      </c>
    </row>
    <row r="4" spans="1:2" x14ac:dyDescent="0.2">
      <c r="A4" t="s">
        <v>16</v>
      </c>
      <c r="B4">
        <v>677.66</v>
      </c>
    </row>
    <row r="5" spans="1:2" x14ac:dyDescent="0.2">
      <c r="A5" t="s">
        <v>48</v>
      </c>
      <c r="B5">
        <v>601.5</v>
      </c>
    </row>
    <row r="6" spans="1:2" x14ac:dyDescent="0.2">
      <c r="A6" t="s">
        <v>24</v>
      </c>
      <c r="B6">
        <v>1030.72</v>
      </c>
    </row>
    <row r="7" spans="1:2" x14ac:dyDescent="0.2">
      <c r="A7" t="s">
        <v>49</v>
      </c>
      <c r="B7">
        <v>981.21</v>
      </c>
    </row>
    <row r="8" spans="1:2" x14ac:dyDescent="0.2">
      <c r="A8" t="s">
        <v>4</v>
      </c>
      <c r="B8">
        <v>345.17</v>
      </c>
    </row>
    <row r="9" spans="1:2" x14ac:dyDescent="0.2">
      <c r="A9" t="s">
        <v>23</v>
      </c>
      <c r="B9">
        <v>488.03</v>
      </c>
    </row>
    <row r="10" spans="1:2" x14ac:dyDescent="0.2">
      <c r="A10" s="41" t="s">
        <v>5</v>
      </c>
      <c r="B10" s="41">
        <v>747.56</v>
      </c>
    </row>
    <row r="13" spans="1:2" x14ac:dyDescent="0.2">
      <c r="A13" s="39" t="s">
        <v>46</v>
      </c>
      <c r="B13" s="39" t="s">
        <v>50</v>
      </c>
    </row>
    <row r="14" spans="1:2" x14ac:dyDescent="0.2">
      <c r="A14" t="s">
        <v>38</v>
      </c>
      <c r="B14">
        <v>329.82</v>
      </c>
    </row>
    <row r="15" spans="1:2" x14ac:dyDescent="0.2">
      <c r="A15" t="s">
        <v>16</v>
      </c>
      <c r="B15">
        <v>290.23500000000001</v>
      </c>
    </row>
    <row r="16" spans="1:2" x14ac:dyDescent="0.2">
      <c r="A16" t="s">
        <v>48</v>
      </c>
      <c r="B16">
        <v>474.85</v>
      </c>
    </row>
    <row r="17" spans="1:2" x14ac:dyDescent="0.2">
      <c r="A17" t="s">
        <v>24</v>
      </c>
      <c r="B17">
        <v>418.16</v>
      </c>
    </row>
    <row r="18" spans="1:2" x14ac:dyDescent="0.2">
      <c r="A18" t="s">
        <v>49</v>
      </c>
      <c r="B18">
        <v>510.005</v>
      </c>
    </row>
    <row r="19" spans="1:2" x14ac:dyDescent="0.2">
      <c r="A19" t="s">
        <v>4</v>
      </c>
      <c r="B19">
        <v>167.99</v>
      </c>
    </row>
    <row r="20" spans="1:2" x14ac:dyDescent="0.2">
      <c r="A20" t="s">
        <v>23</v>
      </c>
      <c r="B20">
        <v>514.37</v>
      </c>
    </row>
    <row r="21" spans="1:2" x14ac:dyDescent="0.2">
      <c r="A21" s="41" t="s">
        <v>5</v>
      </c>
      <c r="B21" s="41">
        <v>290.12</v>
      </c>
    </row>
    <row r="23" spans="1:2" x14ac:dyDescent="0.2">
      <c r="A23" s="39" t="s">
        <v>46</v>
      </c>
      <c r="B23" s="39" t="s">
        <v>51</v>
      </c>
    </row>
    <row r="24" spans="1:2" x14ac:dyDescent="0.2">
      <c r="A24" t="s">
        <v>38</v>
      </c>
      <c r="B24">
        <v>53</v>
      </c>
    </row>
    <row r="25" spans="1:2" x14ac:dyDescent="0.2">
      <c r="A25" t="s">
        <v>16</v>
      </c>
      <c r="B25">
        <v>36.25</v>
      </c>
    </row>
    <row r="26" spans="1:2" x14ac:dyDescent="0.2">
      <c r="A26" t="s">
        <v>48</v>
      </c>
      <c r="B26">
        <v>56.805</v>
      </c>
    </row>
    <row r="27" spans="1:2" x14ac:dyDescent="0.2">
      <c r="A27" t="s">
        <v>24</v>
      </c>
      <c r="B27">
        <v>18.72</v>
      </c>
    </row>
    <row r="28" spans="1:2" x14ac:dyDescent="0.2">
      <c r="A28" t="s">
        <v>49</v>
      </c>
      <c r="B28">
        <v>53.95</v>
      </c>
    </row>
    <row r="29" spans="1:2" x14ac:dyDescent="0.2">
      <c r="A29" t="s">
        <v>4</v>
      </c>
      <c r="B29">
        <v>44.65</v>
      </c>
    </row>
    <row r="30" spans="1:2" x14ac:dyDescent="0.2">
      <c r="A30" t="s">
        <v>23</v>
      </c>
      <c r="B30">
        <v>51</v>
      </c>
    </row>
    <row r="31" spans="1:2" x14ac:dyDescent="0.2">
      <c r="A31" s="41" t="s">
        <v>5</v>
      </c>
      <c r="B31" s="41">
        <v>51.67</v>
      </c>
    </row>
    <row r="34" spans="1:2" x14ac:dyDescent="0.2">
      <c r="A34" s="39" t="s">
        <v>46</v>
      </c>
      <c r="B34" s="39" t="s">
        <v>52</v>
      </c>
    </row>
    <row r="35" spans="1:2" x14ac:dyDescent="0.2">
      <c r="A35" t="s">
        <v>38</v>
      </c>
      <c r="B35">
        <v>25.71</v>
      </c>
    </row>
    <row r="36" spans="1:2" x14ac:dyDescent="0.2">
      <c r="A36" t="s">
        <v>16</v>
      </c>
      <c r="B36">
        <v>32.04</v>
      </c>
    </row>
    <row r="37" spans="1:2" x14ac:dyDescent="0.2">
      <c r="A37" t="s">
        <v>48</v>
      </c>
      <c r="B37">
        <v>25</v>
      </c>
    </row>
    <row r="38" spans="1:2" x14ac:dyDescent="0.2">
      <c r="A38" t="s">
        <v>24</v>
      </c>
      <c r="B38">
        <v>43.33</v>
      </c>
    </row>
    <row r="39" spans="1:2" x14ac:dyDescent="0.2">
      <c r="A39" t="s">
        <v>49</v>
      </c>
      <c r="B39">
        <v>25.71</v>
      </c>
    </row>
    <row r="40" spans="1:2" x14ac:dyDescent="0.2">
      <c r="A40" t="s">
        <v>4</v>
      </c>
      <c r="B40">
        <v>29.09</v>
      </c>
    </row>
    <row r="41" spans="1:2" x14ac:dyDescent="0.2">
      <c r="A41" t="s">
        <v>23</v>
      </c>
      <c r="B41">
        <v>27.03</v>
      </c>
    </row>
    <row r="42" spans="1:2" x14ac:dyDescent="0.2">
      <c r="A42" s="41" t="s">
        <v>5</v>
      </c>
      <c r="B42" s="41">
        <v>23.64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Figure 1A</vt:lpstr>
      <vt:lpstr>Figure 1B and Figure 1C</vt:lpstr>
      <vt:lpstr>Figure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Puri, Nandita</dc:creator>
  <cp:lastModifiedBy>McShan, Andrew C</cp:lastModifiedBy>
  <dcterms:created xsi:type="dcterms:W3CDTF">2025-05-20T19:40:50Z</dcterms:created>
  <dcterms:modified xsi:type="dcterms:W3CDTF">2026-02-18T05:31:46Z</dcterms:modified>
</cp:coreProperties>
</file>